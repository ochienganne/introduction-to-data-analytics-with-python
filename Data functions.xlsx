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JAJO\Desktop\"/>
    </mc:Choice>
  </mc:AlternateContent>
  <xr:revisionPtr revIDLastSave="0" documentId="13_ncr:1_{10295BA9-36B7-4559-8672-48D1F0B2914A}" xr6:coauthVersionLast="47" xr6:coauthVersionMax="47" xr10:uidLastSave="{00000000-0000-0000-0000-000000000000}"/>
  <bookViews>
    <workbookView xWindow="-120" yWindow="-120" windowWidth="20730" windowHeight="11160" activeTab="3" xr2:uid="{515E76B1-835B-49EB-90DE-1436544B8126}"/>
  </bookViews>
  <sheets>
    <sheet name="SUMPRODUCT" sheetId="1" r:id="rId1"/>
    <sheet name="Sheet1" sheetId="6" r:id="rId2"/>
    <sheet name="Countif" sheetId="3" r:id="rId3"/>
    <sheet name="Countifs" sheetId="4" r:id="rId4"/>
    <sheet name="Index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" i="4" l="1"/>
  <c r="O6" i="4"/>
  <c r="O7" i="4"/>
  <c r="O8" i="4"/>
  <c r="O9" i="4"/>
  <c r="O10" i="4"/>
  <c r="O11" i="4"/>
  <c r="O12" i="4"/>
  <c r="O4" i="4"/>
  <c r="N5" i="4"/>
  <c r="N6" i="4"/>
  <c r="N7" i="4"/>
  <c r="N8" i="4"/>
  <c r="N9" i="4"/>
  <c r="N10" i="4"/>
  <c r="N11" i="4"/>
  <c r="N12" i="4"/>
  <c r="N4" i="4"/>
  <c r="M5" i="4"/>
  <c r="M6" i="4"/>
  <c r="M7" i="4"/>
  <c r="M8" i="4"/>
  <c r="M9" i="4"/>
  <c r="M10" i="4"/>
  <c r="M11" i="4"/>
  <c r="M12" i="4"/>
  <c r="M4" i="4"/>
  <c r="L6" i="4"/>
  <c r="L7" i="4"/>
  <c r="L8" i="4"/>
  <c r="L9" i="4"/>
  <c r="L10" i="4"/>
  <c r="L11" i="4"/>
  <c r="L12" i="4"/>
  <c r="L5" i="4"/>
  <c r="L4" i="4"/>
  <c r="I11" i="4"/>
  <c r="I9" i="4"/>
  <c r="I6" i="4"/>
  <c r="G9" i="4"/>
  <c r="G10" i="4"/>
  <c r="H9" i="3"/>
  <c r="H8" i="3"/>
  <c r="H7" i="3"/>
  <c r="H5" i="3"/>
  <c r="H6" i="3"/>
  <c r="S13" i="1"/>
  <c r="P19" i="1"/>
  <c r="Q23" i="1"/>
  <c r="Q24" i="1"/>
  <c r="L24" i="1" a="1"/>
  <c r="L24" i="1" s="1"/>
  <c r="M24" i="1" a="1"/>
  <c r="M24" i="1" s="1"/>
  <c r="N24" i="1" a="1"/>
  <c r="N24" i="1" s="1"/>
  <c r="O24" i="1" a="1"/>
  <c r="O24" i="1" s="1"/>
  <c r="P24" i="1" a="1"/>
  <c r="P24" i="1" s="1"/>
  <c r="K24" i="1" a="1"/>
  <c r="K24" i="1" s="1"/>
  <c r="K23" i="1" a="1"/>
  <c r="K23" i="1" s="1"/>
  <c r="P18" i="1"/>
  <c r="L19" i="1" a="1"/>
  <c r="L19" i="1" s="1"/>
  <c r="M19" i="1" a="1"/>
  <c r="M19" i="1" s="1"/>
  <c r="N19" i="1" a="1"/>
  <c r="N19" i="1" s="1"/>
  <c r="O19" i="1" a="1"/>
  <c r="O19" i="1" s="1"/>
  <c r="K19" i="1" a="1"/>
  <c r="K19" i="1" s="1"/>
  <c r="L13" i="1" a="1"/>
  <c r="L13" i="1" s="1"/>
  <c r="M13" i="1" a="1"/>
  <c r="M13" i="1" s="1"/>
  <c r="N13" i="1" a="1"/>
  <c r="N13" i="1" s="1"/>
  <c r="O13" i="1" a="1"/>
  <c r="O13" i="1" s="1"/>
  <c r="P13" i="1" a="1"/>
  <c r="P13" i="1" s="1"/>
  <c r="Q13" i="1" a="1"/>
  <c r="Q13" i="1" s="1"/>
  <c r="K13" i="1" a="1"/>
  <c r="K13" i="1" s="1"/>
  <c r="L23" i="1" a="1"/>
  <c r="L23" i="1" s="1"/>
  <c r="M23" i="1" a="1"/>
  <c r="M23" i="1" s="1"/>
  <c r="N23" i="1" a="1"/>
  <c r="N23" i="1" s="1"/>
  <c r="O23" i="1" a="1"/>
  <c r="O23" i="1" s="1"/>
  <c r="P23" i="1" a="1"/>
  <c r="P23" i="1" s="1"/>
  <c r="L18" i="1" a="1"/>
  <c r="L18" i="1" s="1"/>
  <c r="M18" i="1" a="1"/>
  <c r="M18" i="1" s="1"/>
  <c r="N18" i="1" a="1"/>
  <c r="N18" i="1" s="1"/>
  <c r="O18" i="1" a="1"/>
  <c r="O18" i="1" s="1"/>
  <c r="K18" i="1" a="1"/>
  <c r="K18" i="1" s="1"/>
  <c r="K7" i="1" a="1"/>
  <c r="K7" i="1" s="1"/>
  <c r="K12" i="1" a="1"/>
  <c r="K12" i="1" s="1"/>
  <c r="L12" i="1" a="1"/>
  <c r="L12" i="1" s="1"/>
  <c r="M12" i="1" a="1"/>
  <c r="M12" i="1" s="1"/>
  <c r="N12" i="1" a="1"/>
  <c r="N12" i="1" s="1"/>
  <c r="O12" i="1" a="1"/>
  <c r="O12" i="1" s="1"/>
  <c r="P12" i="1" a="1"/>
  <c r="P12" i="1" s="1"/>
  <c r="Q12" i="1" a="1"/>
  <c r="Q12" i="1" s="1"/>
  <c r="L8" i="1" a="1"/>
  <c r="L8" i="1" s="1"/>
  <c r="M8" i="1" a="1"/>
  <c r="M8" i="1" s="1"/>
  <c r="N8" i="1" a="1"/>
  <c r="N8" i="1" s="1"/>
  <c r="O8" i="1" a="1"/>
  <c r="O8" i="1" s="1"/>
  <c r="K8" i="1" a="1"/>
  <c r="K8" i="1" s="1"/>
  <c r="L7" i="1" a="1"/>
  <c r="L7" i="1" s="1"/>
  <c r="M7" i="1" a="1"/>
  <c r="M7" i="1" s="1"/>
  <c r="N7" i="1" a="1"/>
  <c r="N7" i="1" s="1"/>
  <c r="O7" i="1" a="1"/>
  <c r="O7" i="1" s="1"/>
  <c r="E8" i="6"/>
  <c r="D8" i="6"/>
  <c r="D4" i="6"/>
  <c r="D5" i="6"/>
  <c r="D6" i="6"/>
  <c r="D7" i="6"/>
  <c r="D3" i="6"/>
  <c r="F12" i="5"/>
  <c r="E14" i="4"/>
  <c r="H10" i="3"/>
  <c r="H4" i="3" s="1"/>
  <c r="G112" i="1" l="1"/>
  <c r="R12" i="1"/>
  <c r="P8" i="1"/>
  <c r="P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<sst xmlns="http://schemas.openxmlformats.org/spreadsheetml/2006/main" count="693" uniqueCount="100">
  <si>
    <t>Date</t>
  </si>
  <si>
    <t>Day</t>
  </si>
  <si>
    <t>Product</t>
  </si>
  <si>
    <t>Region</t>
  </si>
  <si>
    <t>SalesRep</t>
  </si>
  <si>
    <t>Customer</t>
  </si>
  <si>
    <t>Units</t>
  </si>
  <si>
    <t>price</t>
  </si>
  <si>
    <t>Bellen</t>
  </si>
  <si>
    <t>Quad</t>
  </si>
  <si>
    <t>Carlota</t>
  </si>
  <si>
    <t>Sunset</t>
  </si>
  <si>
    <t>Sunshine</t>
  </si>
  <si>
    <t>Wednesday</t>
  </si>
  <si>
    <t>West</t>
  </si>
  <si>
    <t>Pham</t>
  </si>
  <si>
    <t>FRED</t>
  </si>
  <si>
    <t>a)</t>
  </si>
  <si>
    <t>Monday</t>
  </si>
  <si>
    <t>Smith</t>
  </si>
  <si>
    <t>KBTB</t>
  </si>
  <si>
    <t>Revenue</t>
  </si>
  <si>
    <t>Thursday</t>
  </si>
  <si>
    <t>Sioux</t>
  </si>
  <si>
    <t>PCC</t>
  </si>
  <si>
    <t>Gault</t>
  </si>
  <si>
    <t>HII</t>
  </si>
  <si>
    <t>East</t>
  </si>
  <si>
    <t>Franks</t>
  </si>
  <si>
    <t>Tuesday</t>
  </si>
  <si>
    <t>Friday</t>
  </si>
  <si>
    <t>Saturday</t>
  </si>
  <si>
    <t>Sunday</t>
  </si>
  <si>
    <t>MidWest</t>
  </si>
  <si>
    <t>Chin</t>
  </si>
  <si>
    <t>EPP</t>
  </si>
  <si>
    <t>b)</t>
  </si>
  <si>
    <t>FM</t>
  </si>
  <si>
    <t>South</t>
  </si>
  <si>
    <t>ITW</t>
  </si>
  <si>
    <t>AA</t>
  </si>
  <si>
    <t>ITTW</t>
  </si>
  <si>
    <t>Mideast</t>
  </si>
  <si>
    <t>Midwest</t>
  </si>
  <si>
    <t>ET</t>
  </si>
  <si>
    <t>c)</t>
  </si>
  <si>
    <t>AST</t>
  </si>
  <si>
    <t>BBT</t>
  </si>
  <si>
    <t>DFR</t>
  </si>
  <si>
    <t>T</t>
  </si>
  <si>
    <t>PLOT</t>
  </si>
  <si>
    <t>d)</t>
  </si>
  <si>
    <t>YTR</t>
  </si>
  <si>
    <t>QT</t>
  </si>
  <si>
    <t>TTT</t>
  </si>
  <si>
    <t>SFWK</t>
  </si>
  <si>
    <t>HHH</t>
  </si>
  <si>
    <t>WT</t>
  </si>
  <si>
    <t>MNGD</t>
  </si>
  <si>
    <t>PSA</t>
  </si>
  <si>
    <t>MBG</t>
  </si>
  <si>
    <t>DFGH</t>
  </si>
  <si>
    <t>WSD</t>
  </si>
  <si>
    <t>JAQ</t>
  </si>
  <si>
    <t>ZAT</t>
  </si>
  <si>
    <t>TRU</t>
  </si>
  <si>
    <t>KPSA</t>
  </si>
  <si>
    <t>LOP</t>
  </si>
  <si>
    <t>Countif</t>
  </si>
  <si>
    <t xml:space="preserve">Team </t>
  </si>
  <si>
    <t>Country</t>
  </si>
  <si>
    <t>Champions league</t>
  </si>
  <si>
    <t>Games played</t>
  </si>
  <si>
    <t>Points earned</t>
  </si>
  <si>
    <t>Borussia</t>
  </si>
  <si>
    <t>Germany</t>
  </si>
  <si>
    <t>Yes</t>
  </si>
  <si>
    <t>Milan</t>
  </si>
  <si>
    <t>Italy</t>
  </si>
  <si>
    <t>Manchester United</t>
  </si>
  <si>
    <t>England</t>
  </si>
  <si>
    <t>Hamburger</t>
  </si>
  <si>
    <t>No</t>
  </si>
  <si>
    <t>Lazio</t>
  </si>
  <si>
    <t>Fiorentina</t>
  </si>
  <si>
    <t>Bayern</t>
  </si>
  <si>
    <t>Liverpool</t>
  </si>
  <si>
    <t>Arsenal</t>
  </si>
  <si>
    <t>Countifs</t>
  </si>
  <si>
    <t>product</t>
  </si>
  <si>
    <t>qnty</t>
  </si>
  <si>
    <t>A</t>
  </si>
  <si>
    <t>B</t>
  </si>
  <si>
    <t>C</t>
  </si>
  <si>
    <t>D</t>
  </si>
  <si>
    <t>E</t>
  </si>
  <si>
    <t>Team</t>
  </si>
  <si>
    <t>Champions</t>
  </si>
  <si>
    <t>Games</t>
  </si>
  <si>
    <t>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</si>
</sst>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164" formatCode="_-&quot;Ksh&quot;* #,##0.00_-;\-&quot;Ksh&quot;* #,##0.00_-;_-&quot;Ksh&quot;* &quot;-&quot;??_-;_-@_-"/>
    <numFmt numFmtId="165" formatCode="m/d/yy"/>
    <numFmt numFmtId="166" formatCode="_(&quot;$&quot;* #,##0_);_(&quot;$&quot;* \(#,##0\);_(&quot;$&quot;* &quot;-&quot;??_);_(@_)"/>
    <numFmt numFmtId="167" formatCode="&quot;$&quot;#,##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FFFFFF"/>
      <name val="Calibri"/>
      <family val="2"/>
    </font>
    <font>
      <b/>
      <sz val="11"/>
      <name val="Calibri"/>
      <family val="2"/>
    </font>
    <font>
      <b/>
      <sz val="12"/>
      <color rgb="FF002060"/>
      <name val="Arial"/>
      <family val="2"/>
    </font>
    <font>
      <sz val="9"/>
      <color rgb="FF000000"/>
      <name val="Arial"/>
      <family val="2"/>
    </font>
    <font>
      <b/>
      <sz val="9"/>
      <color rgb="FF002060"/>
      <name val="Arial"/>
      <family val="2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  <fill>
      <patternFill patternType="solid">
        <fgColor rgb="FFB9CCE4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206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right"/>
    </xf>
    <xf numFmtId="0" fontId="3" fillId="2" borderId="1" xfId="0" applyFont="1" applyFill="1" applyBorder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165" fontId="2" fillId="0" borderId="1" xfId="0" applyNumberFormat="1" applyFont="1" applyBorder="1"/>
    <xf numFmtId="0" fontId="2" fillId="0" borderId="1" xfId="0" applyFont="1" applyBorder="1"/>
    <xf numFmtId="6" fontId="2" fillId="0" borderId="1" xfId="0" applyNumberFormat="1" applyFont="1" applyBorder="1" applyAlignment="1">
      <alignment vertical="center"/>
    </xf>
    <xf numFmtId="0" fontId="2" fillId="0" borderId="0" xfId="0" quotePrefix="1" applyFont="1" applyAlignment="1">
      <alignment horizontal="right"/>
    </xf>
    <xf numFmtId="0" fontId="4" fillId="0" borderId="1" xfId="0" applyFont="1" applyBorder="1"/>
    <xf numFmtId="0" fontId="2" fillId="3" borderId="1" xfId="0" applyFont="1" applyFill="1" applyBorder="1"/>
    <xf numFmtId="0" fontId="4" fillId="0" borderId="0" xfId="0" applyFont="1"/>
    <xf numFmtId="166" fontId="2" fillId="3" borderId="1" xfId="1" applyNumberFormat="1" applyFont="1" applyFill="1" applyBorder="1" applyProtection="1"/>
    <xf numFmtId="166" fontId="4" fillId="0" borderId="0" xfId="1" applyNumberFormat="1" applyFont="1" applyProtection="1"/>
    <xf numFmtId="164" fontId="2" fillId="0" borderId="0" xfId="1" applyFont="1" applyProtection="1"/>
    <xf numFmtId="167" fontId="2" fillId="3" borderId="1" xfId="0" applyNumberFormat="1" applyFont="1" applyFill="1" applyBorder="1"/>
    <xf numFmtId="0" fontId="4" fillId="0" borderId="2" xfId="0" applyFont="1" applyBorder="1"/>
    <xf numFmtId="0" fontId="3" fillId="0" borderId="0" xfId="0" applyFont="1"/>
    <xf numFmtId="0" fontId="5" fillId="2" borderId="1" xfId="0" applyFont="1" applyFill="1" applyBorder="1"/>
    <xf numFmtId="0" fontId="6" fillId="0" borderId="0" xfId="0" applyFont="1"/>
    <xf numFmtId="6" fontId="2" fillId="0" borderId="1" xfId="0" applyNumberFormat="1" applyFont="1" applyBorder="1"/>
    <xf numFmtId="0" fontId="7" fillId="4" borderId="0" xfId="0" applyFont="1" applyFill="1"/>
    <xf numFmtId="0" fontId="8" fillId="4" borderId="0" xfId="0" applyFont="1" applyFill="1"/>
    <xf numFmtId="0" fontId="9" fillId="4" borderId="3" xfId="0" applyFont="1" applyFill="1" applyBorder="1"/>
    <xf numFmtId="0" fontId="8" fillId="4" borderId="0" xfId="0" applyFont="1" applyFill="1" applyAlignment="1">
      <alignment horizontal="left"/>
    </xf>
    <xf numFmtId="166" fontId="0" fillId="0" borderId="0" xfId="0" applyNumberFormat="1" applyAlignment="1">
      <alignment vertical="center"/>
    </xf>
    <xf numFmtId="167" fontId="4" fillId="0" borderId="0" xfId="0" applyNumberFormat="1" applyFont="1"/>
    <xf numFmtId="167" fontId="0" fillId="0" borderId="0" xfId="0" applyNumberFormat="1"/>
    <xf numFmtId="0" fontId="10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29AFD-2BE1-4603-A6F7-9039938AEA6B}">
  <dimension ref="A5:S112"/>
  <sheetViews>
    <sheetView topLeftCell="A5" workbookViewId="0">
      <selection activeCell="S14" sqref="S14"/>
    </sheetView>
  </sheetViews>
  <sheetFormatPr defaultRowHeight="15" x14ac:dyDescent="0.25"/>
  <cols>
    <col min="1" max="1" width="7.7109375" bestFit="1" customWidth="1"/>
    <col min="2" max="2" width="11.42578125" bestFit="1" customWidth="1"/>
    <col min="4" max="5" width="9" bestFit="1" customWidth="1"/>
    <col min="6" max="6" width="9.5703125" bestFit="1" customWidth="1"/>
    <col min="7" max="8" width="5.7109375" bestFit="1" customWidth="1"/>
    <col min="9" max="9" width="2.85546875" bestFit="1" customWidth="1"/>
    <col min="10" max="10" width="9" bestFit="1" customWidth="1"/>
    <col min="11" max="12" width="10" bestFit="1" customWidth="1"/>
    <col min="13" max="13" width="11.5703125" bestFit="1" customWidth="1"/>
    <col min="14" max="15" width="10" bestFit="1" customWidth="1"/>
    <col min="16" max="17" width="11.5703125" bestFit="1" customWidth="1"/>
    <col min="18" max="18" width="8" bestFit="1" customWidth="1"/>
    <col min="19" max="19" width="10.140625" bestFit="1" customWidth="1"/>
  </cols>
  <sheetData>
    <row r="5" spans="1:19" x14ac:dyDescent="0.25">
      <c r="A5" s="1"/>
      <c r="B5" s="1"/>
      <c r="C5" s="1"/>
      <c r="D5" s="1"/>
      <c r="E5" s="1"/>
      <c r="F5" s="1"/>
      <c r="G5" s="1"/>
      <c r="H5" s="1"/>
      <c r="I5" s="2"/>
      <c r="J5" s="1"/>
      <c r="K5" s="1"/>
      <c r="L5" s="1"/>
      <c r="M5" s="1"/>
      <c r="N5" s="1"/>
      <c r="O5" s="1"/>
      <c r="P5" s="1"/>
      <c r="Q5" s="1"/>
      <c r="R5" s="1"/>
    </row>
    <row r="6" spans="1:19" x14ac:dyDescent="0.25">
      <c r="A6" s="3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2"/>
      <c r="J6" s="3" t="s">
        <v>2</v>
      </c>
      <c r="K6" s="4" t="s">
        <v>8</v>
      </c>
      <c r="L6" s="4" t="s">
        <v>9</v>
      </c>
      <c r="M6" s="4" t="s">
        <v>10</v>
      </c>
      <c r="N6" s="4" t="s">
        <v>11</v>
      </c>
      <c r="O6" s="5" t="s">
        <v>12</v>
      </c>
      <c r="P6" s="6"/>
      <c r="Q6" s="1"/>
      <c r="R6" s="1"/>
    </row>
    <row r="7" spans="1:19" x14ac:dyDescent="0.25">
      <c r="A7" s="7">
        <v>40569</v>
      </c>
      <c r="B7" s="7" t="s">
        <v>13</v>
      </c>
      <c r="C7" s="8" t="s">
        <v>8</v>
      </c>
      <c r="D7" s="8" t="s">
        <v>14</v>
      </c>
      <c r="E7" s="8" t="s">
        <v>15</v>
      </c>
      <c r="F7" s="8" t="s">
        <v>16</v>
      </c>
      <c r="G7" s="8">
        <v>61</v>
      </c>
      <c r="H7" s="9">
        <v>610</v>
      </c>
      <c r="I7" s="10" t="s">
        <v>17</v>
      </c>
      <c r="J7" s="11" t="s">
        <v>6</v>
      </c>
      <c r="K7" s="12" cm="1">
        <f t="array" ref="K7">SUMPRODUCT(($C7:$C111=K$6)*($G7:$G111))</f>
        <v>2210</v>
      </c>
      <c r="L7" s="12" cm="1">
        <f t="array" ref="L7">SUMPRODUCT(($C7:$C111=L$6)*($G7:$G111))</f>
        <v>913.00000000186265</v>
      </c>
      <c r="M7" s="12" cm="1">
        <f t="array" ref="M7">SUMPRODUCT(($C7:$C111=M$6)*($G7:$G111))</f>
        <v>592</v>
      </c>
      <c r="N7" s="12" cm="1">
        <f t="array" ref="N7">SUMPRODUCT(($C7:$C111=N$6)*($G7:$G111))</f>
        <v>585</v>
      </c>
      <c r="O7" s="12" cm="1">
        <f t="array" ref="O7">SUMPRODUCT(($C7:$C111=O$6)*($G7:$G111))</f>
        <v>2878</v>
      </c>
      <c r="P7" s="13">
        <f>SUM(K7:O7)</f>
        <v>7178.0000000018626</v>
      </c>
      <c r="Q7" s="1"/>
      <c r="R7" s="1"/>
    </row>
    <row r="8" spans="1:19" x14ac:dyDescent="0.25">
      <c r="A8" s="7">
        <v>40553</v>
      </c>
      <c r="B8" s="7" t="s">
        <v>18</v>
      </c>
      <c r="C8" s="8" t="s">
        <v>9</v>
      </c>
      <c r="D8" s="8" t="s">
        <v>14</v>
      </c>
      <c r="E8" s="8" t="s">
        <v>19</v>
      </c>
      <c r="F8" s="8" t="s">
        <v>20</v>
      </c>
      <c r="G8" s="8">
        <v>65.000000001862645</v>
      </c>
      <c r="H8" s="9">
        <v>942</v>
      </c>
      <c r="I8" s="2"/>
      <c r="J8" s="11" t="s">
        <v>21</v>
      </c>
      <c r="K8" s="14" cm="1">
        <f t="array" ref="K8">SUMPRODUCT(($C7:$C111=K$6)*($G7:$G111)*($H7:$H111))</f>
        <v>391710</v>
      </c>
      <c r="L8" s="14" cm="1">
        <f t="array" ref="L8">SUMPRODUCT(($C7:$C111=L$6)*($G7:$G111)*($H7:$H111))</f>
        <v>633654.00000175461</v>
      </c>
      <c r="M8" s="14" cm="1">
        <f t="array" ref="M8">SUMPRODUCT(($C7:$C111=M$6)*($G7:$G111)*($H7:$H111))</f>
        <v>285604</v>
      </c>
      <c r="N8" s="14" cm="1">
        <f t="array" ref="N8">SUMPRODUCT(($C7:$C111=N$6)*($G7:$G111)*($H7:$H111))</f>
        <v>245622</v>
      </c>
      <c r="O8" s="14" cm="1">
        <f t="array" ref="O8">SUMPRODUCT(($C7:$C111=O$6)*($G7:$G111)*($H7:$H111))</f>
        <v>396136</v>
      </c>
      <c r="P8" s="15">
        <f>SUM(K8:O8)</f>
        <v>1952726.0000017546</v>
      </c>
      <c r="Q8" s="1"/>
      <c r="R8" s="1"/>
    </row>
    <row r="9" spans="1:19" x14ac:dyDescent="0.25">
      <c r="A9" s="7">
        <v>40549</v>
      </c>
      <c r="B9" s="7" t="s">
        <v>22</v>
      </c>
      <c r="C9" s="8" t="s">
        <v>9</v>
      </c>
      <c r="D9" s="8" t="s">
        <v>14</v>
      </c>
      <c r="E9" s="8" t="s">
        <v>23</v>
      </c>
      <c r="F9" s="8" t="s">
        <v>24</v>
      </c>
      <c r="G9" s="8">
        <v>64</v>
      </c>
      <c r="H9" s="9">
        <v>928</v>
      </c>
      <c r="I9" s="2"/>
      <c r="J9" s="1"/>
      <c r="K9" s="16"/>
      <c r="L9" s="16"/>
      <c r="M9" s="16"/>
      <c r="N9" s="16"/>
      <c r="O9" s="16"/>
      <c r="P9" s="16"/>
      <c r="Q9" s="1"/>
      <c r="R9" s="1"/>
    </row>
    <row r="10" spans="1:19" x14ac:dyDescent="0.25">
      <c r="A10" s="7">
        <v>40567</v>
      </c>
      <c r="B10" s="7" t="s">
        <v>18</v>
      </c>
      <c r="C10" s="8" t="s">
        <v>9</v>
      </c>
      <c r="D10" s="8" t="s">
        <v>14</v>
      </c>
      <c r="E10" s="8" t="s">
        <v>25</v>
      </c>
      <c r="F10" s="8" t="s">
        <v>26</v>
      </c>
      <c r="G10" s="8">
        <v>63</v>
      </c>
      <c r="H10" s="9">
        <v>913</v>
      </c>
      <c r="I10" s="2"/>
      <c r="J10" s="1"/>
      <c r="K10" s="1"/>
      <c r="L10" s="1"/>
      <c r="M10" s="1"/>
      <c r="N10" s="1"/>
      <c r="O10" s="1"/>
      <c r="P10" s="1"/>
      <c r="Q10" s="1"/>
      <c r="R10" s="1"/>
    </row>
    <row r="11" spans="1:19" x14ac:dyDescent="0.25">
      <c r="A11" s="7">
        <v>40560</v>
      </c>
      <c r="B11" s="7" t="s">
        <v>18</v>
      </c>
      <c r="C11" s="8" t="s">
        <v>9</v>
      </c>
      <c r="D11" s="8" t="s">
        <v>27</v>
      </c>
      <c r="E11" s="8" t="s">
        <v>28</v>
      </c>
      <c r="F11" s="8" t="s">
        <v>26</v>
      </c>
      <c r="G11" s="8">
        <v>62</v>
      </c>
      <c r="H11" s="9">
        <v>899</v>
      </c>
      <c r="I11" s="2"/>
      <c r="J11" s="3" t="s">
        <v>1</v>
      </c>
      <c r="K11" s="4" t="s">
        <v>18</v>
      </c>
      <c r="L11" s="4" t="s">
        <v>29</v>
      </c>
      <c r="M11" s="4" t="s">
        <v>13</v>
      </c>
      <c r="N11" s="4" t="s">
        <v>22</v>
      </c>
      <c r="O11" s="4" t="s">
        <v>30</v>
      </c>
      <c r="P11" s="4" t="s">
        <v>31</v>
      </c>
      <c r="Q11" s="5" t="s">
        <v>32</v>
      </c>
      <c r="R11" s="6"/>
    </row>
    <row r="12" spans="1:19" x14ac:dyDescent="0.25">
      <c r="A12" s="7">
        <v>40560</v>
      </c>
      <c r="B12" s="7" t="s">
        <v>18</v>
      </c>
      <c r="C12" s="8" t="s">
        <v>9</v>
      </c>
      <c r="D12" s="8" t="s">
        <v>33</v>
      </c>
      <c r="E12" s="8" t="s">
        <v>34</v>
      </c>
      <c r="F12" s="8" t="s">
        <v>35</v>
      </c>
      <c r="G12" s="8">
        <v>61</v>
      </c>
      <c r="H12" s="9">
        <v>884</v>
      </c>
      <c r="I12" s="10" t="s">
        <v>36</v>
      </c>
      <c r="J12" s="11" t="s">
        <v>6</v>
      </c>
      <c r="K12" s="12" cm="1">
        <f t="array" ref="K12">SUMPRODUCT(($B7:$B111=K$11)*($G7:$G111))</f>
        <v>2853.0000000018626</v>
      </c>
      <c r="L12" s="12" cm="1">
        <f t="array" ref="L12">SUMPRODUCT(($B7:$B111=L$11)*($G7:$G111))</f>
        <v>811</v>
      </c>
      <c r="M12" s="12" cm="1">
        <f t="array" ref="M12">SUMPRODUCT(($B7:$B111=M$11)*($G7:$G111))</f>
        <v>369</v>
      </c>
      <c r="N12" s="12" cm="1">
        <f t="array" ref="N12">SUMPRODUCT(($B7:$B111=N$11)*($G7:$G111))</f>
        <v>495</v>
      </c>
      <c r="O12" s="12" cm="1">
        <f t="array" ref="O12">SUMPRODUCT(($B7:$B111=O$11)*($G7:$G111))</f>
        <v>811</v>
      </c>
      <c r="P12" s="12" cm="1">
        <f t="array" ref="P12">SUMPRODUCT(($B7:$B111=P$11)*($G7:$G111))</f>
        <v>1183</v>
      </c>
      <c r="Q12" s="12" cm="1">
        <f t="array" ref="Q12">SUMPRODUCT(($B7:$B111=Q$11)*($G7:$G111))</f>
        <v>656</v>
      </c>
      <c r="R12" s="13">
        <f>SUM(K12:Q12)</f>
        <v>7178.0000000018626</v>
      </c>
    </row>
    <row r="13" spans="1:19" x14ac:dyDescent="0.25">
      <c r="A13" s="7">
        <v>40564</v>
      </c>
      <c r="B13" s="7" t="s">
        <v>30</v>
      </c>
      <c r="C13" s="8" t="s">
        <v>9</v>
      </c>
      <c r="D13" s="8" t="s">
        <v>27</v>
      </c>
      <c r="E13" s="8" t="s">
        <v>34</v>
      </c>
      <c r="F13" s="8" t="s">
        <v>37</v>
      </c>
      <c r="G13" s="8">
        <v>58</v>
      </c>
      <c r="H13" s="9">
        <v>841</v>
      </c>
      <c r="I13" s="2"/>
      <c r="J13" s="11" t="s">
        <v>21</v>
      </c>
      <c r="K13" s="17" cm="1">
        <f t="array" ref="K13">SUMPRODUCT(($B7:$B111=K$11)*($G7:$G111)*($H7:$H111))</f>
        <v>536571.00000175461</v>
      </c>
      <c r="L13" s="17" cm="1">
        <f t="array" ref="L13">SUMPRODUCT(($B7:$B111=L$11)*($G7:$G111)*($H7:$H111))</f>
        <v>188379</v>
      </c>
      <c r="M13" s="17" cm="1">
        <f t="array" ref="M13">SUMPRODUCT(($B7:$B111=M$11)*($G7:$G111)*($H7:$H111))</f>
        <v>151794</v>
      </c>
      <c r="N13" s="17" cm="1">
        <f t="array" ref="N13">SUMPRODUCT(($B7:$B111=N$11)*($G7:$G111)*($H7:$H111))</f>
        <v>253333</v>
      </c>
      <c r="O13" s="17" cm="1">
        <f t="array" ref="O13">SUMPRODUCT(($B7:$B111=O$11)*($G7:$G111)*($H7:$H111))</f>
        <v>419895</v>
      </c>
      <c r="P13" s="17" cm="1">
        <f t="array" ref="P13">SUMPRODUCT(($B7:$B111=P$11)*($G7:$G111)*($H7:$H111))</f>
        <v>185539</v>
      </c>
      <c r="Q13" s="17" cm="1">
        <f t="array" ref="Q13">SUMPRODUCT(($B7:$B111=Q$11)*($G7:$G111)*($H7:$H111))</f>
        <v>217215</v>
      </c>
      <c r="R13" s="28"/>
      <c r="S13" s="29">
        <f>SUM(K13:Q13)</f>
        <v>1952726.0000017546</v>
      </c>
    </row>
    <row r="14" spans="1:19" x14ac:dyDescent="0.25">
      <c r="A14" s="7">
        <v>40571</v>
      </c>
      <c r="B14" s="7" t="s">
        <v>30</v>
      </c>
      <c r="C14" s="8" t="s">
        <v>9</v>
      </c>
      <c r="D14" s="8" t="s">
        <v>38</v>
      </c>
      <c r="E14" s="8" t="s">
        <v>25</v>
      </c>
      <c r="F14" s="8" t="s">
        <v>20</v>
      </c>
      <c r="G14" s="8">
        <v>56</v>
      </c>
      <c r="H14" s="9">
        <v>812</v>
      </c>
      <c r="I14" s="2"/>
      <c r="J14" s="1"/>
      <c r="K14" s="1"/>
      <c r="L14" s="1"/>
      <c r="M14" s="1"/>
      <c r="N14" s="1"/>
      <c r="O14" s="1"/>
      <c r="P14" s="1"/>
      <c r="Q14" s="1"/>
      <c r="R14" s="1"/>
    </row>
    <row r="15" spans="1:19" x14ac:dyDescent="0.25">
      <c r="A15" s="7">
        <v>40564</v>
      </c>
      <c r="B15" s="7" t="s">
        <v>30</v>
      </c>
      <c r="C15" s="8" t="s">
        <v>9</v>
      </c>
      <c r="D15" s="8" t="s">
        <v>14</v>
      </c>
      <c r="E15" s="8" t="s">
        <v>25</v>
      </c>
      <c r="F15" s="8" t="s">
        <v>39</v>
      </c>
      <c r="G15" s="8">
        <v>56</v>
      </c>
      <c r="H15" s="9">
        <v>812</v>
      </c>
      <c r="I15" s="2"/>
      <c r="J15" s="1"/>
      <c r="K15" s="1"/>
      <c r="L15" s="1"/>
      <c r="M15" s="1"/>
      <c r="N15" s="1"/>
      <c r="O15" s="1"/>
      <c r="P15" s="1"/>
      <c r="Q15" s="1"/>
      <c r="R15" s="1"/>
    </row>
    <row r="16" spans="1:19" x14ac:dyDescent="0.25">
      <c r="A16" s="7">
        <v>40553</v>
      </c>
      <c r="B16" s="7" t="s">
        <v>18</v>
      </c>
      <c r="C16" s="8" t="s">
        <v>10</v>
      </c>
      <c r="D16" s="8" t="s">
        <v>27</v>
      </c>
      <c r="E16" s="8" t="s">
        <v>15</v>
      </c>
      <c r="F16" s="8" t="s">
        <v>40</v>
      </c>
      <c r="G16" s="8">
        <v>63</v>
      </c>
      <c r="H16" s="9">
        <v>693</v>
      </c>
      <c r="I16" s="2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5">
      <c r="A17" s="7">
        <v>40548</v>
      </c>
      <c r="B17" s="7" t="s">
        <v>13</v>
      </c>
      <c r="C17" s="8" t="s">
        <v>10</v>
      </c>
      <c r="D17" s="8" t="s">
        <v>14</v>
      </c>
      <c r="E17" s="8" t="s">
        <v>28</v>
      </c>
      <c r="F17" s="8" t="s">
        <v>41</v>
      </c>
      <c r="G17" s="8">
        <v>60</v>
      </c>
      <c r="H17" s="9">
        <v>660</v>
      </c>
      <c r="I17" s="2"/>
      <c r="J17" s="3" t="s">
        <v>3</v>
      </c>
      <c r="K17" s="11" t="s">
        <v>14</v>
      </c>
      <c r="L17" s="11" t="s">
        <v>27</v>
      </c>
      <c r="M17" s="11" t="s">
        <v>42</v>
      </c>
      <c r="N17" s="11" t="s">
        <v>38</v>
      </c>
      <c r="O17" s="18" t="s">
        <v>43</v>
      </c>
      <c r="P17" s="19"/>
      <c r="Q17" s="1"/>
      <c r="R17" s="1"/>
    </row>
    <row r="18" spans="1:18" x14ac:dyDescent="0.25">
      <c r="A18" s="7">
        <v>40563</v>
      </c>
      <c r="B18" s="7" t="s">
        <v>22</v>
      </c>
      <c r="C18" s="8" t="s">
        <v>10</v>
      </c>
      <c r="D18" s="8" t="s">
        <v>27</v>
      </c>
      <c r="E18" s="8" t="s">
        <v>34</v>
      </c>
      <c r="F18" s="8" t="s">
        <v>44</v>
      </c>
      <c r="G18" s="8">
        <v>59</v>
      </c>
      <c r="H18" s="9">
        <v>649</v>
      </c>
      <c r="I18" s="10" t="s">
        <v>45</v>
      </c>
      <c r="J18" s="11" t="s">
        <v>6</v>
      </c>
      <c r="K18" s="12" cm="1">
        <f t="array" ref="K18">SUMPRODUCT(($D7:$D111=K$17)* ($G7:$G111))</f>
        <v>2219.0000000018626</v>
      </c>
      <c r="L18" s="12" cm="1">
        <f t="array" ref="L18">SUMPRODUCT(($D7:$D111=L$17)* ($G7:$G111))</f>
        <v>1190</v>
      </c>
      <c r="M18" s="12" cm="1">
        <f t="array" ref="M18">SUMPRODUCT(($D7:$D111=M$17)* ($G7:$G111))</f>
        <v>0</v>
      </c>
      <c r="N18" s="12" cm="1">
        <f t="array" ref="N18">SUMPRODUCT(($D7:$D111=N$17)* ($G7:$G111))</f>
        <v>1823</v>
      </c>
      <c r="O18" s="12" cm="1">
        <f t="array" ref="O18">SUMPRODUCT(($D7:$D111=O$17)* ($G7:$G111))</f>
        <v>1946</v>
      </c>
      <c r="P18" s="13">
        <f>SUM(K18:O18)</f>
        <v>7178.0000000018626</v>
      </c>
      <c r="Q18" s="1"/>
      <c r="R18" s="1"/>
    </row>
    <row r="19" spans="1:18" x14ac:dyDescent="0.25">
      <c r="A19" s="7">
        <v>40558</v>
      </c>
      <c r="B19" s="7" t="s">
        <v>31</v>
      </c>
      <c r="C19" s="8" t="s">
        <v>11</v>
      </c>
      <c r="D19" s="8" t="s">
        <v>27</v>
      </c>
      <c r="E19" s="8" t="s">
        <v>25</v>
      </c>
      <c r="F19" s="8" t="s">
        <v>46</v>
      </c>
      <c r="G19" s="8">
        <v>63</v>
      </c>
      <c r="H19" s="9">
        <v>582</v>
      </c>
      <c r="I19" s="2"/>
      <c r="J19" s="11" t="s">
        <v>21</v>
      </c>
      <c r="K19" s="14" cm="1">
        <f t="array" ref="K19">SUMPRODUCT(($D7:$D111=K$17)*($G7:$G111)*($H7:$H111))</f>
        <v>601310.00000175461</v>
      </c>
      <c r="L19" s="14" cm="1">
        <f t="array" ref="L19">SUMPRODUCT(($D7:$D111=L$17)*($G7:$G111)*($H7:$H111))</f>
        <v>546950</v>
      </c>
      <c r="M19" s="14" cm="1">
        <f t="array" ref="M19">SUMPRODUCT(($D7:$D111=M$17)*($G7:$G111)*($H7:$H111))</f>
        <v>0</v>
      </c>
      <c r="N19" s="14" cm="1">
        <f t="array" ref="N19">SUMPRODUCT(($D7:$D111=N$17)*($G7:$G111)*($H7:$H111))</f>
        <v>418330</v>
      </c>
      <c r="O19" s="14" cm="1">
        <f t="array" ref="O19">SUMPRODUCT(($D7:$D111=O$17)*($G7:$G111)*($H7:$H111))</f>
        <v>386136</v>
      </c>
      <c r="P19" s="15">
        <f>SUM(K19:O19)</f>
        <v>1952726.0000017546</v>
      </c>
      <c r="Q19" s="1"/>
      <c r="R19" s="1"/>
    </row>
    <row r="20" spans="1:18" x14ac:dyDescent="0.25">
      <c r="A20" s="7">
        <v>40554</v>
      </c>
      <c r="B20" s="7" t="s">
        <v>29</v>
      </c>
      <c r="C20" s="8" t="s">
        <v>9</v>
      </c>
      <c r="D20" s="8" t="s">
        <v>27</v>
      </c>
      <c r="E20" s="8" t="s">
        <v>19</v>
      </c>
      <c r="F20" s="8" t="s">
        <v>47</v>
      </c>
      <c r="G20" s="8">
        <v>49</v>
      </c>
      <c r="H20" s="9">
        <v>710</v>
      </c>
      <c r="I20" s="2"/>
      <c r="J20" s="13"/>
      <c r="K20" s="1"/>
      <c r="L20" s="1"/>
      <c r="M20" s="1"/>
      <c r="N20" s="1"/>
      <c r="O20" s="1"/>
      <c r="P20" s="1"/>
      <c r="Q20" s="1"/>
      <c r="R20" s="1"/>
    </row>
    <row r="21" spans="1:18" x14ac:dyDescent="0.25">
      <c r="A21" s="7">
        <v>40571</v>
      </c>
      <c r="B21" s="7" t="s">
        <v>30</v>
      </c>
      <c r="C21" s="8" t="s">
        <v>11</v>
      </c>
      <c r="D21" s="8" t="s">
        <v>14</v>
      </c>
      <c r="E21" s="8" t="s">
        <v>34</v>
      </c>
      <c r="F21" s="8" t="s">
        <v>37</v>
      </c>
      <c r="G21" s="8">
        <v>62</v>
      </c>
      <c r="H21" s="9">
        <v>573</v>
      </c>
      <c r="I21" s="2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25">
      <c r="A22" s="7">
        <v>40561</v>
      </c>
      <c r="B22" s="7" t="s">
        <v>29</v>
      </c>
      <c r="C22" s="8" t="s">
        <v>8</v>
      </c>
      <c r="D22" s="8" t="s">
        <v>27</v>
      </c>
      <c r="E22" s="8" t="s">
        <v>15</v>
      </c>
      <c r="F22" s="8" t="s">
        <v>48</v>
      </c>
      <c r="G22" s="8">
        <v>59</v>
      </c>
      <c r="H22" s="9">
        <v>590</v>
      </c>
      <c r="I22" s="2"/>
      <c r="J22" s="20" t="s">
        <v>4</v>
      </c>
      <c r="K22" s="4" t="s">
        <v>15</v>
      </c>
      <c r="L22" s="4" t="s">
        <v>19</v>
      </c>
      <c r="M22" s="4" t="s">
        <v>23</v>
      </c>
      <c r="N22" s="4" t="s">
        <v>25</v>
      </c>
      <c r="O22" s="4" t="s">
        <v>28</v>
      </c>
      <c r="P22" s="4" t="s">
        <v>34</v>
      </c>
      <c r="Q22" s="1"/>
      <c r="R22" s="21"/>
    </row>
    <row r="23" spans="1:18" x14ac:dyDescent="0.25">
      <c r="A23" s="7">
        <v>40550</v>
      </c>
      <c r="B23" s="7" t="s">
        <v>30</v>
      </c>
      <c r="C23" s="8" t="s">
        <v>11</v>
      </c>
      <c r="D23" s="8" t="s">
        <v>14</v>
      </c>
      <c r="E23" s="8" t="s">
        <v>15</v>
      </c>
      <c r="F23" s="8" t="s">
        <v>49</v>
      </c>
      <c r="G23" s="8">
        <v>61</v>
      </c>
      <c r="H23" s="9">
        <v>564</v>
      </c>
      <c r="I23" s="2"/>
      <c r="J23" s="11" t="s">
        <v>6</v>
      </c>
      <c r="K23" s="12" cm="1">
        <f t="array" ref="K23">SUMPRODUCT(($E7:$E111=K$22)*($G7:$G111))</f>
        <v>745</v>
      </c>
      <c r="L23" s="12" cm="1">
        <f t="array" ref="L23">SUMPRODUCT(($E7:$E111=L$22)*($G7:$G111))</f>
        <v>2327.0000000018626</v>
      </c>
      <c r="M23" s="12" cm="1">
        <f t="array" ref="M23">SUMPRODUCT(($E7:$E111=M$22)*($G7:$G111))</f>
        <v>1904</v>
      </c>
      <c r="N23" s="12" cm="1">
        <f t="array" ref="N23">SUMPRODUCT(($E7:$E111=N$22)*($G7:$G111))</f>
        <v>1042</v>
      </c>
      <c r="O23" s="12" cm="1">
        <f t="array" ref="O23">SUMPRODUCT(($E7:$E111=O$22)*($G7:$G111))</f>
        <v>586</v>
      </c>
      <c r="P23" s="12" cm="1">
        <f t="array" ref="P23">SUMPRODUCT(($E7:$E111=P$22)*($G7:$G111))</f>
        <v>574</v>
      </c>
      <c r="Q23" s="1">
        <f>SUM(K23:P23)</f>
        <v>7178.0000000018626</v>
      </c>
    </row>
    <row r="24" spans="1:18" x14ac:dyDescent="0.25">
      <c r="A24" s="7">
        <v>40556</v>
      </c>
      <c r="B24" s="7" t="s">
        <v>22</v>
      </c>
      <c r="C24" s="8" t="s">
        <v>8</v>
      </c>
      <c r="D24" s="8" t="s">
        <v>33</v>
      </c>
      <c r="E24" s="8" t="s">
        <v>15</v>
      </c>
      <c r="F24" s="8" t="s">
        <v>50</v>
      </c>
      <c r="G24" s="8">
        <v>57</v>
      </c>
      <c r="H24" s="9">
        <v>570</v>
      </c>
      <c r="I24" s="10" t="s">
        <v>51</v>
      </c>
      <c r="J24" s="11" t="s">
        <v>21</v>
      </c>
      <c r="K24" s="14" cm="1">
        <f t="array" ref="K24">SUMPRODUCT(($E7:$E111=K$22)*($G7:$G111)*($H7:$H111))</f>
        <v>353282</v>
      </c>
      <c r="L24" s="14" cm="1">
        <f t="array" ref="L24">SUMPRODUCT(($E7:$E111=L$22)*($G7:$G111)*($H7:$H111))</f>
        <v>421415.00000175461</v>
      </c>
      <c r="M24" s="14" cm="1">
        <f t="array" ref="M24">SUMPRODUCT(($E7:$E111=M$22)*($G7:$G111)*($H7:$H111))</f>
        <v>310657</v>
      </c>
      <c r="N24" s="14" cm="1">
        <f t="array" ref="N24">SUMPRODUCT(($E7:$E111=N$22)*($G7:$G111)*($H7:$H111))</f>
        <v>299216</v>
      </c>
      <c r="O24" s="14" cm="1">
        <f t="array" ref="O24">SUMPRODUCT(($E7:$E111=O$22)*($G7:$G111)*($H7:$H111))</f>
        <v>286287</v>
      </c>
      <c r="P24" s="14" cm="1">
        <f t="array" ref="P24">SUMPRODUCT(($E7:$E111=P$22)*($G7:$G111)*($H7:$H111))</f>
        <v>281869</v>
      </c>
      <c r="Q24" s="27">
        <f>SUM(K24:P24)</f>
        <v>1952726.0000017546</v>
      </c>
      <c r="R24" s="21"/>
    </row>
    <row r="25" spans="1:18" x14ac:dyDescent="0.25">
      <c r="A25" s="7">
        <v>40559</v>
      </c>
      <c r="B25" s="7" t="s">
        <v>32</v>
      </c>
      <c r="C25" s="8" t="s">
        <v>8</v>
      </c>
      <c r="D25" s="8" t="s">
        <v>33</v>
      </c>
      <c r="E25" s="8" t="s">
        <v>23</v>
      </c>
      <c r="F25" s="8" t="s">
        <v>52</v>
      </c>
      <c r="G25" s="8">
        <v>56</v>
      </c>
      <c r="H25" s="9">
        <v>560</v>
      </c>
      <c r="I25" s="2"/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25">
      <c r="A26" s="7">
        <v>40561</v>
      </c>
      <c r="B26" s="7" t="s">
        <v>29</v>
      </c>
      <c r="C26" s="8" t="s">
        <v>10</v>
      </c>
      <c r="D26" s="8" t="s">
        <v>38</v>
      </c>
      <c r="E26" s="8" t="s">
        <v>19</v>
      </c>
      <c r="F26" s="8" t="s">
        <v>52</v>
      </c>
      <c r="G26" s="8">
        <v>53</v>
      </c>
      <c r="H26" s="9">
        <v>583</v>
      </c>
      <c r="I26" s="2"/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25">
      <c r="A27" s="7">
        <v>40564</v>
      </c>
      <c r="B27" s="7" t="s">
        <v>30</v>
      </c>
      <c r="C27" s="8" t="s">
        <v>12</v>
      </c>
      <c r="D27" s="8" t="s">
        <v>33</v>
      </c>
      <c r="E27" s="8" t="s">
        <v>19</v>
      </c>
      <c r="F27" s="8" t="s">
        <v>53</v>
      </c>
      <c r="G27" s="8">
        <v>64</v>
      </c>
      <c r="H27" s="9">
        <v>512</v>
      </c>
      <c r="I27" s="2"/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25">
      <c r="A28" s="7">
        <v>40548</v>
      </c>
      <c r="B28" s="7" t="s">
        <v>13</v>
      </c>
      <c r="C28" s="8" t="s">
        <v>11</v>
      </c>
      <c r="D28" s="8" t="s">
        <v>38</v>
      </c>
      <c r="E28" s="8" t="s">
        <v>15</v>
      </c>
      <c r="F28" s="8" t="s">
        <v>54</v>
      </c>
      <c r="G28" s="8">
        <v>57</v>
      </c>
      <c r="H28" s="9">
        <v>527</v>
      </c>
      <c r="I28" s="2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25">
      <c r="A29" s="7">
        <v>40556</v>
      </c>
      <c r="B29" s="7" t="s">
        <v>22</v>
      </c>
      <c r="C29" s="8" t="s">
        <v>10</v>
      </c>
      <c r="D29" s="8" t="s">
        <v>38</v>
      </c>
      <c r="E29" s="8" t="s">
        <v>19</v>
      </c>
      <c r="F29" s="8" t="s">
        <v>37</v>
      </c>
      <c r="G29" s="8">
        <v>52</v>
      </c>
      <c r="H29" s="9">
        <v>572</v>
      </c>
      <c r="I29" s="2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25">
      <c r="A30" s="7">
        <v>40566</v>
      </c>
      <c r="B30" s="7" t="s">
        <v>32</v>
      </c>
      <c r="C30" s="8" t="s">
        <v>9</v>
      </c>
      <c r="D30" s="8" t="s">
        <v>27</v>
      </c>
      <c r="E30" s="8" t="s">
        <v>28</v>
      </c>
      <c r="F30" s="8" t="s">
        <v>24</v>
      </c>
      <c r="G30" s="8">
        <v>44</v>
      </c>
      <c r="H30" s="9">
        <v>638</v>
      </c>
      <c r="I30" s="2"/>
      <c r="J30" s="1"/>
      <c r="K30" s="1"/>
      <c r="L30" s="1"/>
      <c r="M30" s="1"/>
      <c r="N30" s="1"/>
      <c r="O30" s="1"/>
      <c r="P30" s="1"/>
      <c r="Q30" s="1"/>
      <c r="R30" s="1"/>
    </row>
    <row r="31" spans="1:18" x14ac:dyDescent="0.25">
      <c r="A31" s="7">
        <v>40571</v>
      </c>
      <c r="B31" s="7" t="s">
        <v>30</v>
      </c>
      <c r="C31" s="8" t="s">
        <v>9</v>
      </c>
      <c r="D31" s="8" t="s">
        <v>38</v>
      </c>
      <c r="E31" s="8" t="s">
        <v>28</v>
      </c>
      <c r="F31" s="8" t="s">
        <v>52</v>
      </c>
      <c r="G31" s="8">
        <v>44</v>
      </c>
      <c r="H31" s="9">
        <v>638</v>
      </c>
      <c r="I31" s="2"/>
      <c r="J31" s="1"/>
      <c r="K31" s="1"/>
      <c r="L31" s="1"/>
      <c r="M31" s="1"/>
      <c r="N31" s="1"/>
      <c r="O31" s="1"/>
      <c r="P31" s="1"/>
      <c r="Q31" s="1"/>
      <c r="R31" s="1"/>
    </row>
    <row r="32" spans="1:18" x14ac:dyDescent="0.25">
      <c r="A32" s="7">
        <v>40561</v>
      </c>
      <c r="B32" s="7" t="s">
        <v>29</v>
      </c>
      <c r="C32" s="8" t="s">
        <v>12</v>
      </c>
      <c r="D32" s="8" t="s">
        <v>33</v>
      </c>
      <c r="E32" s="8" t="s">
        <v>34</v>
      </c>
      <c r="F32" s="8" t="s">
        <v>24</v>
      </c>
      <c r="G32" s="8">
        <v>62</v>
      </c>
      <c r="H32" s="9">
        <v>496</v>
      </c>
      <c r="I32" s="2"/>
      <c r="J32" s="1"/>
      <c r="K32" s="1"/>
      <c r="L32" s="1"/>
      <c r="M32" s="1"/>
      <c r="N32" s="1"/>
      <c r="O32" s="1"/>
      <c r="P32" s="1"/>
      <c r="Q32" s="1"/>
      <c r="R32" s="1"/>
    </row>
    <row r="33" spans="1:18" x14ac:dyDescent="0.25">
      <c r="A33" s="7">
        <v>40565</v>
      </c>
      <c r="B33" s="7" t="s">
        <v>31</v>
      </c>
      <c r="C33" s="8" t="s">
        <v>8</v>
      </c>
      <c r="D33" s="8" t="s">
        <v>14</v>
      </c>
      <c r="E33" s="8" t="s">
        <v>15</v>
      </c>
      <c r="F33" s="8" t="s">
        <v>46</v>
      </c>
      <c r="G33" s="8">
        <v>53</v>
      </c>
      <c r="H33" s="9">
        <v>530</v>
      </c>
      <c r="I33" s="2"/>
      <c r="J33" s="1"/>
      <c r="K33" s="1"/>
      <c r="L33" s="1"/>
      <c r="M33" s="1"/>
      <c r="N33" s="1"/>
      <c r="O33" s="1"/>
      <c r="P33" s="1"/>
      <c r="Q33" s="1"/>
      <c r="R33" s="1"/>
    </row>
    <row r="34" spans="1:18" x14ac:dyDescent="0.25">
      <c r="A34" s="7">
        <v>40560</v>
      </c>
      <c r="B34" s="7" t="s">
        <v>18</v>
      </c>
      <c r="C34" s="8" t="s">
        <v>9</v>
      </c>
      <c r="D34" s="8" t="s">
        <v>27</v>
      </c>
      <c r="E34" s="8" t="s">
        <v>25</v>
      </c>
      <c r="F34" s="8" t="s">
        <v>55</v>
      </c>
      <c r="G34" s="8">
        <v>43</v>
      </c>
      <c r="H34" s="9">
        <v>623</v>
      </c>
      <c r="I34" s="2"/>
      <c r="J34" s="1"/>
      <c r="K34" s="1"/>
      <c r="L34" s="1"/>
      <c r="M34" s="1"/>
      <c r="N34" s="1"/>
      <c r="O34" s="1"/>
      <c r="P34" s="1"/>
      <c r="Q34" s="1"/>
      <c r="R34" s="1"/>
    </row>
    <row r="35" spans="1:18" x14ac:dyDescent="0.25">
      <c r="A35" s="7">
        <v>40571</v>
      </c>
      <c r="B35" s="7" t="s">
        <v>30</v>
      </c>
      <c r="C35" s="8" t="s">
        <v>9</v>
      </c>
      <c r="D35" s="8" t="s">
        <v>33</v>
      </c>
      <c r="E35" s="8" t="s">
        <v>19</v>
      </c>
      <c r="F35" s="8" t="s">
        <v>52</v>
      </c>
      <c r="G35" s="8">
        <v>42</v>
      </c>
      <c r="H35" s="9">
        <v>609</v>
      </c>
      <c r="I35" s="2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25">
      <c r="A36" s="7">
        <v>40560</v>
      </c>
      <c r="B36" s="7" t="s">
        <v>18</v>
      </c>
      <c r="C36" s="8" t="s">
        <v>12</v>
      </c>
      <c r="D36" s="8" t="s">
        <v>33</v>
      </c>
      <c r="E36" s="8" t="s">
        <v>28</v>
      </c>
      <c r="F36" s="8" t="s">
        <v>56</v>
      </c>
      <c r="G36" s="8">
        <v>59</v>
      </c>
      <c r="H36" s="9">
        <v>472</v>
      </c>
      <c r="I36" s="2"/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25">
      <c r="A37" s="7">
        <v>40550</v>
      </c>
      <c r="B37" s="7" t="s">
        <v>30</v>
      </c>
      <c r="C37" s="8" t="s">
        <v>11</v>
      </c>
      <c r="D37" s="8" t="s">
        <v>14</v>
      </c>
      <c r="E37" s="8" t="s">
        <v>15</v>
      </c>
      <c r="F37" s="8" t="s">
        <v>57</v>
      </c>
      <c r="G37" s="8">
        <v>53</v>
      </c>
      <c r="H37" s="9">
        <v>490</v>
      </c>
      <c r="I37" s="2"/>
      <c r="J37" s="1"/>
      <c r="K37" s="1"/>
      <c r="L37" s="1"/>
      <c r="M37" s="1"/>
      <c r="N37" s="1"/>
      <c r="O37" s="1"/>
      <c r="P37" s="1"/>
      <c r="Q37" s="1"/>
      <c r="R37" s="1"/>
    </row>
    <row r="38" spans="1:18" x14ac:dyDescent="0.25">
      <c r="A38" s="7">
        <v>40563</v>
      </c>
      <c r="B38" s="7" t="s">
        <v>22</v>
      </c>
      <c r="C38" s="8" t="s">
        <v>12</v>
      </c>
      <c r="D38" s="8" t="s">
        <v>14</v>
      </c>
      <c r="E38" s="8" t="s">
        <v>23</v>
      </c>
      <c r="F38" s="8" t="s">
        <v>52</v>
      </c>
      <c r="G38" s="8">
        <v>58</v>
      </c>
      <c r="H38" s="9">
        <v>464</v>
      </c>
      <c r="I38" s="2"/>
      <c r="J38" s="1"/>
      <c r="K38" s="1"/>
      <c r="L38" s="1"/>
      <c r="M38" s="1"/>
      <c r="N38" s="1"/>
      <c r="O38" s="1"/>
      <c r="P38" s="1"/>
      <c r="Q38" s="1"/>
      <c r="R38" s="1"/>
    </row>
    <row r="39" spans="1:18" x14ac:dyDescent="0.25">
      <c r="A39" s="7">
        <v>40572</v>
      </c>
      <c r="B39" s="7" t="s">
        <v>31</v>
      </c>
      <c r="C39" s="8" t="s">
        <v>8</v>
      </c>
      <c r="D39" s="8" t="s">
        <v>27</v>
      </c>
      <c r="E39" s="8" t="s">
        <v>34</v>
      </c>
      <c r="F39" s="8" t="s">
        <v>46</v>
      </c>
      <c r="G39" s="8">
        <v>50</v>
      </c>
      <c r="H39" s="9">
        <v>500</v>
      </c>
      <c r="I39" s="2"/>
      <c r="J39" s="1"/>
      <c r="K39" s="1"/>
      <c r="L39" s="1"/>
      <c r="M39" s="1"/>
      <c r="N39" s="1"/>
      <c r="O39" s="1"/>
      <c r="P39" s="1"/>
      <c r="Q39" s="1"/>
      <c r="R39" s="1"/>
    </row>
    <row r="40" spans="1:18" x14ac:dyDescent="0.25">
      <c r="A40" s="7">
        <v>40571</v>
      </c>
      <c r="B40" s="7" t="s">
        <v>30</v>
      </c>
      <c r="C40" s="8" t="s">
        <v>10</v>
      </c>
      <c r="D40" s="8" t="s">
        <v>38</v>
      </c>
      <c r="E40" s="8" t="s">
        <v>28</v>
      </c>
      <c r="F40" s="8" t="s">
        <v>58</v>
      </c>
      <c r="G40" s="8">
        <v>46</v>
      </c>
      <c r="H40" s="9">
        <v>506</v>
      </c>
      <c r="I40" s="2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25">
      <c r="A41" s="7">
        <v>40549</v>
      </c>
      <c r="B41" s="7" t="s">
        <v>22</v>
      </c>
      <c r="C41" s="8" t="s">
        <v>12</v>
      </c>
      <c r="D41" s="8" t="s">
        <v>27</v>
      </c>
      <c r="E41" s="8" t="s">
        <v>28</v>
      </c>
      <c r="F41" s="8" t="s">
        <v>59</v>
      </c>
      <c r="G41" s="8">
        <v>54</v>
      </c>
      <c r="H41" s="9">
        <v>432</v>
      </c>
      <c r="I41" s="2"/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25">
      <c r="A42" s="7">
        <v>40553</v>
      </c>
      <c r="B42" s="7" t="s">
        <v>18</v>
      </c>
      <c r="C42" s="8" t="s">
        <v>11</v>
      </c>
      <c r="D42" s="8" t="s">
        <v>38</v>
      </c>
      <c r="E42" s="8" t="s">
        <v>23</v>
      </c>
      <c r="F42" s="8" t="s">
        <v>60</v>
      </c>
      <c r="G42" s="8">
        <v>47</v>
      </c>
      <c r="H42" s="9">
        <v>434</v>
      </c>
      <c r="I42" s="2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25">
      <c r="A43" s="7">
        <v>40571</v>
      </c>
      <c r="B43" s="7" t="s">
        <v>30</v>
      </c>
      <c r="C43" s="8" t="s">
        <v>12</v>
      </c>
      <c r="D43" s="8" t="s">
        <v>38</v>
      </c>
      <c r="E43" s="8" t="s">
        <v>19</v>
      </c>
      <c r="F43" s="8" t="s">
        <v>16</v>
      </c>
      <c r="G43" s="8">
        <v>51</v>
      </c>
      <c r="H43" s="9">
        <v>408</v>
      </c>
      <c r="I43" s="2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25">
      <c r="A44" s="7">
        <v>40566</v>
      </c>
      <c r="B44" s="7" t="s">
        <v>32</v>
      </c>
      <c r="C44" s="8" t="s">
        <v>12</v>
      </c>
      <c r="D44" s="8" t="s">
        <v>38</v>
      </c>
      <c r="E44" s="8" t="s">
        <v>34</v>
      </c>
      <c r="F44" s="8" t="s">
        <v>49</v>
      </c>
      <c r="G44" s="8">
        <v>49</v>
      </c>
      <c r="H44" s="9">
        <v>392</v>
      </c>
      <c r="I44" s="2"/>
      <c r="J44" s="1"/>
      <c r="K44" s="1"/>
      <c r="L44" s="1"/>
      <c r="M44" s="1"/>
      <c r="N44" s="1"/>
      <c r="O44" s="1"/>
      <c r="P44" s="1"/>
      <c r="Q44" s="1"/>
      <c r="R44" s="1"/>
    </row>
    <row r="45" spans="1:18" x14ac:dyDescent="0.25">
      <c r="A45" s="7">
        <v>40573</v>
      </c>
      <c r="B45" s="7" t="s">
        <v>32</v>
      </c>
      <c r="C45" s="8" t="s">
        <v>12</v>
      </c>
      <c r="D45" s="8" t="s">
        <v>14</v>
      </c>
      <c r="E45" s="8" t="s">
        <v>25</v>
      </c>
      <c r="F45" s="8" t="s">
        <v>48</v>
      </c>
      <c r="G45" s="8">
        <v>49</v>
      </c>
      <c r="H45" s="9">
        <v>392</v>
      </c>
      <c r="I45" s="2"/>
      <c r="J45" s="1"/>
      <c r="K45" s="1"/>
      <c r="L45" s="1"/>
      <c r="M45" s="1"/>
      <c r="N45" s="1"/>
      <c r="O45" s="1"/>
      <c r="P45" s="1"/>
      <c r="Q45" s="1"/>
      <c r="R45" s="1"/>
    </row>
    <row r="46" spans="1:18" x14ac:dyDescent="0.25">
      <c r="A46" s="7">
        <v>40569</v>
      </c>
      <c r="B46" s="7" t="s">
        <v>13</v>
      </c>
      <c r="C46" s="8" t="s">
        <v>11</v>
      </c>
      <c r="D46" s="8" t="s">
        <v>38</v>
      </c>
      <c r="E46" s="8" t="s">
        <v>23</v>
      </c>
      <c r="F46" s="8" t="s">
        <v>61</v>
      </c>
      <c r="G46" s="8">
        <v>44</v>
      </c>
      <c r="H46" s="9">
        <v>407</v>
      </c>
      <c r="I46" s="2"/>
      <c r="J46" s="1"/>
      <c r="K46" s="1"/>
      <c r="L46" s="1"/>
      <c r="M46" s="1"/>
      <c r="N46" s="1"/>
      <c r="O46" s="1"/>
      <c r="P46" s="1"/>
      <c r="Q46" s="1"/>
      <c r="R46" s="1"/>
    </row>
    <row r="47" spans="1:18" x14ac:dyDescent="0.25">
      <c r="A47" s="7">
        <v>40560</v>
      </c>
      <c r="B47" s="7" t="s">
        <v>18</v>
      </c>
      <c r="C47" s="8" t="s">
        <v>10</v>
      </c>
      <c r="D47" s="8" t="s">
        <v>27</v>
      </c>
      <c r="E47" s="8" t="s">
        <v>23</v>
      </c>
      <c r="F47" s="8" t="s">
        <v>24</v>
      </c>
      <c r="G47" s="8">
        <v>39</v>
      </c>
      <c r="H47" s="9">
        <v>429</v>
      </c>
      <c r="I47" s="2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25">
      <c r="A48" s="7">
        <v>40552</v>
      </c>
      <c r="B48" s="7" t="s">
        <v>32</v>
      </c>
      <c r="C48" s="8" t="s">
        <v>8</v>
      </c>
      <c r="D48" s="8" t="s">
        <v>27</v>
      </c>
      <c r="E48" s="8" t="s">
        <v>15</v>
      </c>
      <c r="F48" s="8" t="s">
        <v>35</v>
      </c>
      <c r="G48" s="8">
        <v>40</v>
      </c>
      <c r="H48" s="9">
        <v>400</v>
      </c>
      <c r="I48" s="2"/>
      <c r="J48" s="1"/>
      <c r="K48" s="1"/>
      <c r="L48" s="1"/>
      <c r="M48" s="1"/>
      <c r="N48" s="1"/>
      <c r="O48" s="1"/>
      <c r="P48" s="1"/>
      <c r="Q48" s="1"/>
      <c r="R48" s="1"/>
    </row>
    <row r="49" spans="1:18" x14ac:dyDescent="0.25">
      <c r="A49" s="7">
        <v>40556</v>
      </c>
      <c r="B49" s="7" t="s">
        <v>22</v>
      </c>
      <c r="C49" s="8" t="s">
        <v>8</v>
      </c>
      <c r="D49" s="8" t="s">
        <v>33</v>
      </c>
      <c r="E49" s="8" t="s">
        <v>15</v>
      </c>
      <c r="F49" s="8" t="s">
        <v>59</v>
      </c>
      <c r="G49" s="8">
        <v>40</v>
      </c>
      <c r="H49" s="9">
        <v>400</v>
      </c>
      <c r="I49" s="2"/>
      <c r="J49" s="1"/>
      <c r="K49" s="1"/>
      <c r="L49" s="1"/>
      <c r="M49" s="1"/>
      <c r="N49" s="1"/>
      <c r="O49" s="1"/>
      <c r="P49" s="1"/>
      <c r="Q49" s="1"/>
      <c r="R49" s="1"/>
    </row>
    <row r="50" spans="1:18" x14ac:dyDescent="0.25">
      <c r="A50" s="7">
        <v>40552</v>
      </c>
      <c r="B50" s="7" t="s">
        <v>32</v>
      </c>
      <c r="C50" s="8" t="s">
        <v>10</v>
      </c>
      <c r="D50" s="8" t="s">
        <v>27</v>
      </c>
      <c r="E50" s="8" t="s">
        <v>28</v>
      </c>
      <c r="F50" s="8" t="s">
        <v>62</v>
      </c>
      <c r="G50" s="8">
        <v>38</v>
      </c>
      <c r="H50" s="9">
        <v>418</v>
      </c>
      <c r="I50" s="2"/>
      <c r="J50" s="1"/>
      <c r="K50" s="1"/>
      <c r="L50" s="1"/>
      <c r="M50" s="1"/>
      <c r="N50" s="1"/>
      <c r="O50" s="1"/>
      <c r="P50" s="1"/>
      <c r="Q50" s="1"/>
      <c r="R50" s="1"/>
    </row>
    <row r="51" spans="1:18" x14ac:dyDescent="0.25">
      <c r="A51" s="7">
        <v>40545</v>
      </c>
      <c r="B51" s="7" t="s">
        <v>32</v>
      </c>
      <c r="C51" s="8" t="s">
        <v>9</v>
      </c>
      <c r="D51" s="8" t="s">
        <v>14</v>
      </c>
      <c r="E51" s="8" t="s">
        <v>15</v>
      </c>
      <c r="F51" s="8" t="s">
        <v>46</v>
      </c>
      <c r="G51" s="8">
        <v>30</v>
      </c>
      <c r="H51" s="9">
        <v>435</v>
      </c>
      <c r="I51" s="2"/>
      <c r="J51" s="1"/>
      <c r="K51" s="1"/>
      <c r="L51" s="1"/>
      <c r="M51" s="1"/>
      <c r="N51" s="1"/>
      <c r="O51" s="1"/>
      <c r="P51" s="1"/>
      <c r="Q51" s="1"/>
      <c r="R51" s="1"/>
    </row>
    <row r="52" spans="1:18" x14ac:dyDescent="0.25">
      <c r="A52" s="7">
        <v>40552</v>
      </c>
      <c r="B52" s="7" t="s">
        <v>32</v>
      </c>
      <c r="C52" s="8" t="s">
        <v>12</v>
      </c>
      <c r="D52" s="8" t="s">
        <v>27</v>
      </c>
      <c r="E52" s="8" t="s">
        <v>19</v>
      </c>
      <c r="F52" s="8" t="s">
        <v>24</v>
      </c>
      <c r="G52" s="8">
        <v>42</v>
      </c>
      <c r="H52" s="9">
        <v>336</v>
      </c>
      <c r="I52" s="2"/>
      <c r="J52" s="1"/>
      <c r="K52" s="1"/>
      <c r="L52" s="1"/>
      <c r="M52" s="1"/>
      <c r="N52" s="1"/>
      <c r="O52" s="1"/>
      <c r="P52" s="1"/>
      <c r="Q52" s="1"/>
      <c r="R52" s="1"/>
    </row>
    <row r="53" spans="1:18" x14ac:dyDescent="0.25">
      <c r="A53" s="7">
        <v>40565</v>
      </c>
      <c r="B53" s="7" t="s">
        <v>31</v>
      </c>
      <c r="C53" s="8" t="s">
        <v>9</v>
      </c>
      <c r="D53" s="8" t="s">
        <v>38</v>
      </c>
      <c r="E53" s="8" t="s">
        <v>28</v>
      </c>
      <c r="F53" s="8" t="s">
        <v>37</v>
      </c>
      <c r="G53" s="8">
        <v>29</v>
      </c>
      <c r="H53" s="9">
        <v>420</v>
      </c>
      <c r="I53" s="2"/>
      <c r="J53" s="1"/>
      <c r="K53" s="1"/>
      <c r="L53" s="1"/>
      <c r="M53" s="1"/>
      <c r="N53" s="1"/>
      <c r="O53" s="1"/>
      <c r="P53" s="1"/>
      <c r="Q53" s="1"/>
      <c r="R53" s="1"/>
    </row>
    <row r="54" spans="1:18" x14ac:dyDescent="0.25">
      <c r="A54" s="7">
        <v>40557</v>
      </c>
      <c r="B54" s="7" t="s">
        <v>30</v>
      </c>
      <c r="C54" s="8" t="s">
        <v>10</v>
      </c>
      <c r="D54" s="8" t="s">
        <v>27</v>
      </c>
      <c r="E54" s="8" t="s">
        <v>28</v>
      </c>
      <c r="F54" s="8" t="s">
        <v>63</v>
      </c>
      <c r="G54" s="8">
        <v>34</v>
      </c>
      <c r="H54" s="9">
        <v>374</v>
      </c>
      <c r="I54" s="2"/>
      <c r="J54" s="1"/>
      <c r="K54" s="1"/>
      <c r="L54" s="1"/>
      <c r="M54" s="1"/>
      <c r="N54" s="1"/>
      <c r="O54" s="1"/>
      <c r="P54" s="1"/>
      <c r="Q54" s="1"/>
      <c r="R54" s="1"/>
    </row>
    <row r="55" spans="1:18" x14ac:dyDescent="0.25">
      <c r="A55" s="7">
        <v>40562</v>
      </c>
      <c r="B55" s="7" t="s">
        <v>13</v>
      </c>
      <c r="C55" s="8" t="s">
        <v>8</v>
      </c>
      <c r="D55" s="8" t="s">
        <v>38</v>
      </c>
      <c r="E55" s="8" t="s">
        <v>23</v>
      </c>
      <c r="F55" s="8" t="s">
        <v>49</v>
      </c>
      <c r="G55" s="8">
        <v>35</v>
      </c>
      <c r="H55" s="9">
        <v>350</v>
      </c>
      <c r="I55" s="2"/>
      <c r="J55" s="1"/>
      <c r="K55" s="1"/>
      <c r="L55" s="1"/>
      <c r="M55" s="1"/>
      <c r="N55" s="1"/>
      <c r="O55" s="1"/>
      <c r="P55" s="1"/>
      <c r="Q55" s="1"/>
      <c r="R55" s="1"/>
    </row>
    <row r="56" spans="1:18" x14ac:dyDescent="0.25">
      <c r="A56" s="7">
        <v>40565</v>
      </c>
      <c r="B56" s="7" t="s">
        <v>31</v>
      </c>
      <c r="C56" s="8" t="s">
        <v>8</v>
      </c>
      <c r="D56" s="8" t="s">
        <v>14</v>
      </c>
      <c r="E56" s="8" t="s">
        <v>23</v>
      </c>
      <c r="F56" s="8" t="s">
        <v>52</v>
      </c>
      <c r="G56" s="8">
        <v>35</v>
      </c>
      <c r="H56" s="9">
        <v>350</v>
      </c>
      <c r="I56" s="2"/>
      <c r="J56" s="1"/>
      <c r="K56" s="1"/>
      <c r="L56" s="1"/>
      <c r="M56" s="1"/>
      <c r="N56" s="1"/>
      <c r="O56" s="1"/>
      <c r="P56" s="1"/>
      <c r="Q56" s="1"/>
      <c r="R56" s="1"/>
    </row>
    <row r="57" spans="1:18" x14ac:dyDescent="0.25">
      <c r="A57" s="7">
        <v>40549</v>
      </c>
      <c r="B57" s="7" t="s">
        <v>22</v>
      </c>
      <c r="C57" s="8" t="s">
        <v>12</v>
      </c>
      <c r="D57" s="8" t="s">
        <v>38</v>
      </c>
      <c r="E57" s="8" t="s">
        <v>19</v>
      </c>
      <c r="F57" s="8" t="s">
        <v>53</v>
      </c>
      <c r="G57" s="8">
        <v>40</v>
      </c>
      <c r="H57" s="9">
        <v>320</v>
      </c>
      <c r="I57" s="2"/>
      <c r="J57" s="1"/>
      <c r="K57" s="1"/>
      <c r="L57" s="1"/>
      <c r="M57" s="1"/>
      <c r="N57" s="1"/>
      <c r="O57" s="1"/>
      <c r="P57" s="1"/>
      <c r="Q57" s="1"/>
      <c r="R57" s="1"/>
    </row>
    <row r="58" spans="1:18" x14ac:dyDescent="0.25">
      <c r="A58" s="7">
        <v>40571</v>
      </c>
      <c r="B58" s="7" t="s">
        <v>30</v>
      </c>
      <c r="C58" s="8" t="s">
        <v>11</v>
      </c>
      <c r="D58" s="8" t="s">
        <v>27</v>
      </c>
      <c r="E58" s="8" t="s">
        <v>19</v>
      </c>
      <c r="F58" s="8" t="s">
        <v>64</v>
      </c>
      <c r="G58" s="8">
        <v>36</v>
      </c>
      <c r="H58" s="9">
        <v>333</v>
      </c>
      <c r="I58" s="2"/>
      <c r="J58" s="1"/>
      <c r="K58" s="1"/>
      <c r="L58" s="1"/>
      <c r="M58" s="1"/>
      <c r="N58" s="1"/>
      <c r="O58" s="1"/>
      <c r="P58" s="1"/>
      <c r="Q58" s="1"/>
      <c r="R58" s="1"/>
    </row>
    <row r="59" spans="1:18" x14ac:dyDescent="0.25">
      <c r="A59" s="7">
        <v>40546</v>
      </c>
      <c r="B59" s="7" t="s">
        <v>18</v>
      </c>
      <c r="C59" s="8" t="s">
        <v>12</v>
      </c>
      <c r="D59" s="8" t="s">
        <v>27</v>
      </c>
      <c r="E59" s="8" t="s">
        <v>15</v>
      </c>
      <c r="F59" s="8" t="s">
        <v>37</v>
      </c>
      <c r="G59" s="8">
        <v>38</v>
      </c>
      <c r="H59" s="9">
        <v>304</v>
      </c>
      <c r="I59" s="2"/>
      <c r="J59" s="1"/>
      <c r="K59" s="1"/>
      <c r="L59" s="1"/>
      <c r="M59" s="1"/>
      <c r="N59" s="1"/>
      <c r="O59" s="1"/>
      <c r="P59" s="1"/>
      <c r="Q59" s="1"/>
      <c r="R59" s="1"/>
    </row>
    <row r="60" spans="1:18" x14ac:dyDescent="0.25">
      <c r="A60" s="7">
        <v>40559</v>
      </c>
      <c r="B60" s="7" t="s">
        <v>32</v>
      </c>
      <c r="C60" s="8" t="s">
        <v>10</v>
      </c>
      <c r="D60" s="8" t="s">
        <v>38</v>
      </c>
      <c r="E60" s="8" t="s">
        <v>19</v>
      </c>
      <c r="F60" s="8" t="s">
        <v>53</v>
      </c>
      <c r="G60" s="8">
        <v>31</v>
      </c>
      <c r="H60" s="9">
        <v>341</v>
      </c>
      <c r="I60" s="2"/>
      <c r="J60" s="1"/>
      <c r="K60" s="1"/>
      <c r="L60" s="1"/>
      <c r="M60" s="1"/>
      <c r="N60" s="1"/>
      <c r="O60" s="1"/>
      <c r="P60" s="1"/>
      <c r="Q60" s="1"/>
      <c r="R60" s="1"/>
    </row>
    <row r="61" spans="1:18" x14ac:dyDescent="0.25">
      <c r="A61" s="7">
        <v>40573</v>
      </c>
      <c r="B61" s="7" t="s">
        <v>32</v>
      </c>
      <c r="C61" s="8" t="s">
        <v>9</v>
      </c>
      <c r="D61" s="8" t="s">
        <v>38</v>
      </c>
      <c r="E61" s="8" t="s">
        <v>23</v>
      </c>
      <c r="F61" s="8" t="s">
        <v>54</v>
      </c>
      <c r="G61" s="8">
        <v>25</v>
      </c>
      <c r="H61" s="9">
        <v>362</v>
      </c>
      <c r="I61" s="2"/>
      <c r="J61" s="1"/>
      <c r="K61" s="1"/>
      <c r="L61" s="1"/>
      <c r="M61" s="1"/>
      <c r="N61" s="1"/>
      <c r="O61" s="1"/>
      <c r="P61" s="1"/>
      <c r="Q61" s="1"/>
      <c r="R61" s="1"/>
    </row>
    <row r="62" spans="1:18" x14ac:dyDescent="0.25">
      <c r="A62" s="7">
        <v>40565</v>
      </c>
      <c r="B62" s="7" t="s">
        <v>31</v>
      </c>
      <c r="C62" s="8" t="s">
        <v>10</v>
      </c>
      <c r="D62" s="8" t="s">
        <v>38</v>
      </c>
      <c r="E62" s="8" t="s">
        <v>19</v>
      </c>
      <c r="F62" s="8" t="s">
        <v>20</v>
      </c>
      <c r="G62" s="8">
        <v>29</v>
      </c>
      <c r="H62" s="9">
        <v>319</v>
      </c>
      <c r="I62" s="2"/>
      <c r="J62" s="1"/>
      <c r="K62" s="1"/>
      <c r="L62" s="1"/>
      <c r="M62" s="1"/>
      <c r="N62" s="1"/>
      <c r="O62" s="1"/>
      <c r="P62" s="1"/>
      <c r="Q62" s="1"/>
      <c r="R62" s="1"/>
    </row>
    <row r="63" spans="1:18" x14ac:dyDescent="0.25">
      <c r="A63" s="7">
        <v>40556</v>
      </c>
      <c r="B63" s="7" t="s">
        <v>22</v>
      </c>
      <c r="C63" s="8" t="s">
        <v>12</v>
      </c>
      <c r="D63" s="8" t="s">
        <v>33</v>
      </c>
      <c r="E63" s="8" t="s">
        <v>15</v>
      </c>
      <c r="F63" s="8" t="s">
        <v>59</v>
      </c>
      <c r="G63" s="8">
        <v>33</v>
      </c>
      <c r="H63" s="9">
        <v>264</v>
      </c>
      <c r="I63" s="2"/>
      <c r="J63" s="1"/>
      <c r="K63" s="1"/>
      <c r="L63" s="1"/>
      <c r="M63" s="1"/>
      <c r="N63" s="1"/>
      <c r="O63" s="1"/>
      <c r="P63" s="1"/>
      <c r="Q63" s="1"/>
      <c r="R63" s="1"/>
    </row>
    <row r="64" spans="1:18" x14ac:dyDescent="0.25">
      <c r="A64" s="7">
        <v>40547</v>
      </c>
      <c r="B64" s="7" t="s">
        <v>29</v>
      </c>
      <c r="C64" s="8" t="s">
        <v>11</v>
      </c>
      <c r="D64" s="8" t="s">
        <v>33</v>
      </c>
      <c r="E64" s="8" t="s">
        <v>23</v>
      </c>
      <c r="F64" s="8" t="s">
        <v>47</v>
      </c>
      <c r="G64" s="8">
        <v>29</v>
      </c>
      <c r="H64" s="9">
        <v>268</v>
      </c>
      <c r="I64" s="2"/>
      <c r="J64" s="1"/>
      <c r="K64" s="1"/>
      <c r="L64" s="1"/>
      <c r="M64" s="1"/>
      <c r="N64" s="1"/>
      <c r="O64" s="1"/>
      <c r="P64" s="1"/>
      <c r="Q64" s="1"/>
      <c r="R64" s="1"/>
    </row>
    <row r="65" spans="1:18" x14ac:dyDescent="0.25">
      <c r="A65" s="7">
        <v>40566</v>
      </c>
      <c r="B65" s="7" t="s">
        <v>32</v>
      </c>
      <c r="C65" s="8" t="s">
        <v>9</v>
      </c>
      <c r="D65" s="8" t="s">
        <v>27</v>
      </c>
      <c r="E65" s="8" t="s">
        <v>15</v>
      </c>
      <c r="F65" s="8" t="s">
        <v>57</v>
      </c>
      <c r="G65" s="8">
        <v>22</v>
      </c>
      <c r="H65" s="9">
        <v>319</v>
      </c>
      <c r="I65" s="2"/>
      <c r="J65" s="1"/>
      <c r="K65" s="1"/>
      <c r="L65" s="1"/>
      <c r="M65" s="1"/>
      <c r="N65" s="1"/>
      <c r="O65" s="1"/>
      <c r="P65" s="1"/>
      <c r="Q65" s="1"/>
      <c r="R65" s="1"/>
    </row>
    <row r="66" spans="1:18" x14ac:dyDescent="0.25">
      <c r="A66" s="7">
        <v>40550</v>
      </c>
      <c r="B66" s="7" t="s">
        <v>30</v>
      </c>
      <c r="C66" s="8" t="s">
        <v>8</v>
      </c>
      <c r="D66" s="8" t="s">
        <v>14</v>
      </c>
      <c r="E66" s="8" t="s">
        <v>19</v>
      </c>
      <c r="F66" s="8" t="s">
        <v>49</v>
      </c>
      <c r="G66" s="8">
        <v>27</v>
      </c>
      <c r="H66" s="9">
        <v>270</v>
      </c>
      <c r="I66" s="2"/>
      <c r="J66" s="1"/>
      <c r="K66" s="1"/>
      <c r="L66" s="1"/>
      <c r="M66" s="1"/>
      <c r="N66" s="1"/>
      <c r="O66" s="1"/>
      <c r="P66" s="1"/>
      <c r="Q66" s="1"/>
      <c r="R66" s="1"/>
    </row>
    <row r="67" spans="1:18" x14ac:dyDescent="0.25">
      <c r="A67" s="7">
        <v>40552</v>
      </c>
      <c r="B67" s="7" t="s">
        <v>32</v>
      </c>
      <c r="C67" s="8" t="s">
        <v>8</v>
      </c>
      <c r="D67" s="8" t="s">
        <v>38</v>
      </c>
      <c r="E67" s="8" t="s">
        <v>34</v>
      </c>
      <c r="F67" s="8" t="s">
        <v>62</v>
      </c>
      <c r="G67" s="8">
        <v>26</v>
      </c>
      <c r="H67" s="9">
        <v>260</v>
      </c>
      <c r="I67" s="2"/>
      <c r="J67" s="1"/>
      <c r="K67" s="1"/>
      <c r="L67" s="1"/>
      <c r="M67" s="1"/>
      <c r="N67" s="1"/>
      <c r="O67" s="1"/>
      <c r="P67" s="1"/>
      <c r="Q67" s="1"/>
      <c r="R67" s="1"/>
    </row>
    <row r="68" spans="1:18" x14ac:dyDescent="0.25">
      <c r="A68" s="7">
        <v>40553</v>
      </c>
      <c r="B68" s="7" t="s">
        <v>18</v>
      </c>
      <c r="C68" s="8" t="s">
        <v>12</v>
      </c>
      <c r="D68" s="8" t="s">
        <v>38</v>
      </c>
      <c r="E68" s="8" t="s">
        <v>34</v>
      </c>
      <c r="F68" s="8" t="s">
        <v>65</v>
      </c>
      <c r="G68" s="8">
        <v>30</v>
      </c>
      <c r="H68" s="9">
        <v>240</v>
      </c>
      <c r="I68" s="2"/>
      <c r="J68" s="1"/>
      <c r="K68" s="1"/>
      <c r="L68" s="1"/>
      <c r="M68" s="1"/>
      <c r="N68" s="1"/>
      <c r="O68" s="1"/>
      <c r="P68" s="1"/>
      <c r="Q68" s="1"/>
      <c r="R68" s="1"/>
    </row>
    <row r="69" spans="1:18" x14ac:dyDescent="0.25">
      <c r="A69" s="7">
        <v>40553</v>
      </c>
      <c r="B69" s="7" t="s">
        <v>18</v>
      </c>
      <c r="C69" s="8" t="s">
        <v>11</v>
      </c>
      <c r="D69" s="8" t="s">
        <v>27</v>
      </c>
      <c r="E69" s="8" t="s">
        <v>25</v>
      </c>
      <c r="F69" s="8" t="s">
        <v>65</v>
      </c>
      <c r="G69" s="8">
        <v>27</v>
      </c>
      <c r="H69" s="9">
        <v>249</v>
      </c>
      <c r="I69" s="2"/>
      <c r="J69" s="1"/>
      <c r="K69" s="1"/>
      <c r="L69" s="1"/>
      <c r="M69" s="1"/>
      <c r="N69" s="1"/>
      <c r="O69" s="1"/>
      <c r="P69" s="1"/>
      <c r="Q69" s="1"/>
      <c r="R69" s="1"/>
    </row>
    <row r="70" spans="1:18" x14ac:dyDescent="0.25">
      <c r="A70" s="7">
        <v>40571</v>
      </c>
      <c r="B70" s="7" t="s">
        <v>30</v>
      </c>
      <c r="C70" s="8" t="s">
        <v>8</v>
      </c>
      <c r="D70" s="8" t="s">
        <v>38</v>
      </c>
      <c r="E70" s="8" t="s">
        <v>23</v>
      </c>
      <c r="F70" s="8" t="s">
        <v>53</v>
      </c>
      <c r="G70" s="8">
        <v>25</v>
      </c>
      <c r="H70" s="9">
        <v>250</v>
      </c>
      <c r="I70" s="2"/>
      <c r="J70" s="1"/>
      <c r="K70" s="1"/>
      <c r="L70" s="1"/>
      <c r="M70" s="1"/>
      <c r="N70" s="1"/>
      <c r="O70" s="1"/>
      <c r="P70" s="1"/>
      <c r="Q70" s="1"/>
      <c r="R70" s="1"/>
    </row>
    <row r="71" spans="1:18" x14ac:dyDescent="0.25">
      <c r="A71" s="7">
        <v>40545</v>
      </c>
      <c r="B71" s="7" t="s">
        <v>32</v>
      </c>
      <c r="C71" s="8" t="s">
        <v>8</v>
      </c>
      <c r="D71" s="8" t="s">
        <v>38</v>
      </c>
      <c r="E71" s="8" t="s">
        <v>25</v>
      </c>
      <c r="F71" s="8" t="s">
        <v>20</v>
      </c>
      <c r="G71" s="8">
        <v>24</v>
      </c>
      <c r="H71" s="9">
        <v>240</v>
      </c>
      <c r="I71" s="2"/>
      <c r="J71" s="1"/>
      <c r="K71" s="1"/>
      <c r="L71" s="1"/>
      <c r="M71" s="1"/>
      <c r="N71" s="1"/>
      <c r="O71" s="1"/>
      <c r="P71" s="1"/>
      <c r="Q71" s="1"/>
      <c r="R71" s="1"/>
    </row>
    <row r="72" spans="1:18" x14ac:dyDescent="0.25">
      <c r="A72" s="7">
        <v>40546</v>
      </c>
      <c r="B72" s="7" t="s">
        <v>18</v>
      </c>
      <c r="C72" s="8" t="s">
        <v>11</v>
      </c>
      <c r="D72" s="8" t="s">
        <v>38</v>
      </c>
      <c r="E72" s="8" t="s">
        <v>15</v>
      </c>
      <c r="F72" s="8" t="s">
        <v>62</v>
      </c>
      <c r="G72" s="8">
        <v>23</v>
      </c>
      <c r="H72" s="9">
        <v>212</v>
      </c>
      <c r="I72" s="2"/>
      <c r="J72" s="1"/>
      <c r="K72" s="1"/>
      <c r="L72" s="1"/>
      <c r="M72" s="1"/>
      <c r="N72" s="1"/>
      <c r="O72" s="1"/>
      <c r="P72" s="1"/>
      <c r="Q72" s="1"/>
      <c r="R72" s="1"/>
    </row>
    <row r="73" spans="1:18" x14ac:dyDescent="0.25">
      <c r="A73" s="7">
        <v>40569</v>
      </c>
      <c r="B73" s="7" t="s">
        <v>13</v>
      </c>
      <c r="C73" s="8" t="s">
        <v>8</v>
      </c>
      <c r="D73" s="8" t="s">
        <v>33</v>
      </c>
      <c r="E73" s="8" t="s">
        <v>25</v>
      </c>
      <c r="F73" s="8" t="s">
        <v>59</v>
      </c>
      <c r="G73" s="8">
        <v>21</v>
      </c>
      <c r="H73" s="9">
        <v>210</v>
      </c>
      <c r="I73" s="2"/>
      <c r="J73" s="1"/>
      <c r="K73" s="1"/>
      <c r="L73" s="1"/>
      <c r="M73" s="1"/>
      <c r="N73" s="1"/>
      <c r="O73" s="1"/>
      <c r="P73" s="1"/>
      <c r="Q73" s="1"/>
      <c r="R73" s="1"/>
    </row>
    <row r="74" spans="1:18" x14ac:dyDescent="0.25">
      <c r="A74" s="7">
        <v>40550</v>
      </c>
      <c r="B74" s="7" t="s">
        <v>30</v>
      </c>
      <c r="C74" s="8" t="s">
        <v>11</v>
      </c>
      <c r="D74" s="8" t="s">
        <v>33</v>
      </c>
      <c r="E74" s="8" t="s">
        <v>23</v>
      </c>
      <c r="F74" s="8" t="s">
        <v>24</v>
      </c>
      <c r="G74" s="8">
        <v>22</v>
      </c>
      <c r="H74" s="9">
        <v>203</v>
      </c>
      <c r="I74" s="2"/>
      <c r="J74" s="1"/>
      <c r="K74" s="1"/>
      <c r="L74" s="1"/>
      <c r="M74" s="1"/>
      <c r="N74" s="1"/>
      <c r="O74" s="1"/>
      <c r="P74" s="1"/>
      <c r="Q74" s="1"/>
      <c r="R74" s="1"/>
    </row>
    <row r="75" spans="1:18" x14ac:dyDescent="0.25">
      <c r="A75" s="7">
        <v>40546</v>
      </c>
      <c r="B75" s="7" t="s">
        <v>18</v>
      </c>
      <c r="C75" s="8" t="s">
        <v>10</v>
      </c>
      <c r="D75" s="8" t="s">
        <v>33</v>
      </c>
      <c r="E75" s="8" t="s">
        <v>34</v>
      </c>
      <c r="F75" s="8" t="s">
        <v>37</v>
      </c>
      <c r="G75" s="8">
        <v>20</v>
      </c>
      <c r="H75" s="9">
        <v>220</v>
      </c>
      <c r="I75" s="2"/>
      <c r="J75" s="1"/>
      <c r="K75" s="1"/>
      <c r="L75" s="1"/>
      <c r="M75" s="1"/>
      <c r="N75" s="1"/>
      <c r="O75" s="1"/>
      <c r="P75" s="1"/>
      <c r="Q75" s="1"/>
      <c r="R75" s="1"/>
    </row>
    <row r="76" spans="1:18" x14ac:dyDescent="0.25">
      <c r="A76" s="7">
        <v>40553</v>
      </c>
      <c r="B76" s="7" t="s">
        <v>18</v>
      </c>
      <c r="C76" s="8" t="s">
        <v>9</v>
      </c>
      <c r="D76" s="8" t="s">
        <v>27</v>
      </c>
      <c r="E76" s="8" t="s">
        <v>19</v>
      </c>
      <c r="F76" s="8" t="s">
        <v>48</v>
      </c>
      <c r="G76" s="8">
        <v>17</v>
      </c>
      <c r="H76" s="9">
        <v>246</v>
      </c>
      <c r="I76" s="2"/>
      <c r="J76" s="1"/>
      <c r="K76" s="1"/>
      <c r="L76" s="1"/>
      <c r="M76" s="1"/>
      <c r="N76" s="1"/>
      <c r="O76" s="1"/>
      <c r="P76" s="1"/>
      <c r="Q76" s="1"/>
      <c r="R76" s="1"/>
    </row>
    <row r="77" spans="1:18" x14ac:dyDescent="0.25">
      <c r="A77" s="7">
        <v>40561</v>
      </c>
      <c r="B77" s="7" t="s">
        <v>29</v>
      </c>
      <c r="C77" s="8" t="s">
        <v>9</v>
      </c>
      <c r="D77" s="8" t="s">
        <v>33</v>
      </c>
      <c r="E77" s="8" t="s">
        <v>19</v>
      </c>
      <c r="F77" s="8" t="s">
        <v>50</v>
      </c>
      <c r="G77" s="8">
        <v>17</v>
      </c>
      <c r="H77" s="9">
        <v>246</v>
      </c>
      <c r="I77" s="2"/>
      <c r="J77" s="1"/>
      <c r="K77" s="1"/>
      <c r="L77" s="1"/>
      <c r="M77" s="1"/>
      <c r="N77" s="1"/>
      <c r="O77" s="1"/>
      <c r="P77" s="1"/>
      <c r="Q77" s="1"/>
      <c r="R77" s="1"/>
    </row>
    <row r="78" spans="1:18" x14ac:dyDescent="0.25">
      <c r="A78" s="7">
        <v>40561</v>
      </c>
      <c r="B78" s="7" t="s">
        <v>29</v>
      </c>
      <c r="C78" s="8" t="s">
        <v>12</v>
      </c>
      <c r="D78" s="8" t="s">
        <v>27</v>
      </c>
      <c r="E78" s="8" t="s">
        <v>28</v>
      </c>
      <c r="F78" s="8" t="s">
        <v>40</v>
      </c>
      <c r="G78" s="8">
        <v>24</v>
      </c>
      <c r="H78" s="9">
        <v>192</v>
      </c>
      <c r="I78" s="2"/>
      <c r="J78" s="1"/>
      <c r="K78" s="1"/>
      <c r="L78" s="1"/>
      <c r="M78" s="1"/>
      <c r="N78" s="1"/>
      <c r="O78" s="1"/>
      <c r="P78" s="1"/>
      <c r="Q78" s="1"/>
      <c r="R78" s="1"/>
    </row>
    <row r="79" spans="1:18" x14ac:dyDescent="0.25">
      <c r="A79" s="7">
        <v>40561</v>
      </c>
      <c r="B79" s="7" t="s">
        <v>29</v>
      </c>
      <c r="C79" s="8" t="s">
        <v>8</v>
      </c>
      <c r="D79" s="8" t="s">
        <v>27</v>
      </c>
      <c r="E79" s="8" t="s">
        <v>28</v>
      </c>
      <c r="F79" s="8" t="s">
        <v>61</v>
      </c>
      <c r="G79" s="8">
        <v>20</v>
      </c>
      <c r="H79" s="9">
        <v>200</v>
      </c>
      <c r="I79" s="2"/>
      <c r="J79" s="1"/>
      <c r="K79" s="1"/>
      <c r="L79" s="1"/>
      <c r="M79" s="1"/>
      <c r="N79" s="1"/>
      <c r="O79" s="1"/>
      <c r="P79" s="1"/>
      <c r="Q79" s="1"/>
      <c r="R79" s="1"/>
    </row>
    <row r="80" spans="1:18" x14ac:dyDescent="0.25">
      <c r="A80" s="7">
        <v>40564</v>
      </c>
      <c r="B80" s="7" t="s">
        <v>30</v>
      </c>
      <c r="C80" s="8" t="s">
        <v>12</v>
      </c>
      <c r="D80" s="8" t="s">
        <v>33</v>
      </c>
      <c r="E80" s="8" t="s">
        <v>15</v>
      </c>
      <c r="F80" s="8" t="s">
        <v>48</v>
      </c>
      <c r="G80" s="8">
        <v>23</v>
      </c>
      <c r="H80" s="9">
        <v>184</v>
      </c>
      <c r="I80" s="2"/>
      <c r="J80" s="1"/>
      <c r="K80" s="1"/>
      <c r="L80" s="1"/>
      <c r="M80" s="1"/>
      <c r="N80" s="1"/>
      <c r="O80" s="1"/>
      <c r="P80" s="1"/>
      <c r="Q80" s="1"/>
      <c r="R80" s="1"/>
    </row>
    <row r="81" spans="1:18" x14ac:dyDescent="0.25">
      <c r="A81" s="7">
        <v>40573</v>
      </c>
      <c r="B81" s="7" t="s">
        <v>32</v>
      </c>
      <c r="C81" s="8" t="s">
        <v>12</v>
      </c>
      <c r="D81" s="8" t="s">
        <v>38</v>
      </c>
      <c r="E81" s="8" t="s">
        <v>23</v>
      </c>
      <c r="F81" s="8" t="s">
        <v>54</v>
      </c>
      <c r="G81" s="8">
        <v>23</v>
      </c>
      <c r="H81" s="9">
        <v>184</v>
      </c>
      <c r="I81" s="2"/>
      <c r="J81" s="1"/>
      <c r="K81" s="1"/>
      <c r="L81" s="1"/>
      <c r="M81" s="1"/>
      <c r="N81" s="1"/>
      <c r="O81" s="1"/>
      <c r="P81" s="1"/>
      <c r="Q81" s="1"/>
      <c r="R81" s="1"/>
    </row>
    <row r="82" spans="1:18" x14ac:dyDescent="0.25">
      <c r="A82" s="7">
        <v>40544</v>
      </c>
      <c r="B82" s="7" t="s">
        <v>31</v>
      </c>
      <c r="C82" s="8" t="s">
        <v>9</v>
      </c>
      <c r="D82" s="8" t="s">
        <v>27</v>
      </c>
      <c r="E82" s="8" t="s">
        <v>23</v>
      </c>
      <c r="F82" s="8" t="s">
        <v>40</v>
      </c>
      <c r="G82" s="8">
        <v>16</v>
      </c>
      <c r="H82" s="9">
        <v>232</v>
      </c>
      <c r="I82" s="2"/>
      <c r="J82" s="1"/>
      <c r="K82" s="1"/>
      <c r="L82" s="1"/>
      <c r="M82" s="1"/>
      <c r="N82" s="1"/>
      <c r="O82" s="1"/>
      <c r="P82" s="1"/>
      <c r="Q82" s="1"/>
      <c r="R82" s="1"/>
    </row>
    <row r="83" spans="1:18" x14ac:dyDescent="0.25">
      <c r="A83" s="7">
        <v>40551</v>
      </c>
      <c r="B83" s="7" t="s">
        <v>31</v>
      </c>
      <c r="C83" s="8" t="s">
        <v>9</v>
      </c>
      <c r="D83" s="8" t="s">
        <v>14</v>
      </c>
      <c r="E83" s="8" t="s">
        <v>34</v>
      </c>
      <c r="F83" s="8" t="s">
        <v>26</v>
      </c>
      <c r="G83" s="8">
        <v>16</v>
      </c>
      <c r="H83" s="9">
        <v>232</v>
      </c>
      <c r="I83" s="2"/>
      <c r="J83" s="1"/>
      <c r="K83" s="1"/>
      <c r="L83" s="1"/>
      <c r="M83" s="1"/>
      <c r="N83" s="1"/>
      <c r="O83" s="1"/>
      <c r="P83" s="1"/>
      <c r="Q83" s="1"/>
      <c r="R83" s="1"/>
    </row>
    <row r="84" spans="1:18" x14ac:dyDescent="0.25">
      <c r="A84" s="7">
        <v>40545</v>
      </c>
      <c r="B84" s="7" t="s">
        <v>32</v>
      </c>
      <c r="C84" s="8" t="s">
        <v>8</v>
      </c>
      <c r="D84" s="8" t="s">
        <v>14</v>
      </c>
      <c r="E84" s="8" t="s">
        <v>15</v>
      </c>
      <c r="F84" s="8" t="s">
        <v>55</v>
      </c>
      <c r="G84" s="8">
        <v>19</v>
      </c>
      <c r="H84" s="9">
        <v>190</v>
      </c>
      <c r="I84" s="2"/>
      <c r="J84" s="1"/>
      <c r="K84" s="1"/>
      <c r="L84" s="1"/>
      <c r="M84" s="1"/>
      <c r="N84" s="1"/>
      <c r="O84" s="1"/>
      <c r="P84" s="1"/>
      <c r="Q84" s="1"/>
      <c r="R84" s="1"/>
    </row>
    <row r="85" spans="1:18" x14ac:dyDescent="0.25">
      <c r="A85" s="7">
        <v>40549</v>
      </c>
      <c r="B85" s="7" t="s">
        <v>22</v>
      </c>
      <c r="C85" s="8" t="s">
        <v>10</v>
      </c>
      <c r="D85" s="8" t="s">
        <v>14</v>
      </c>
      <c r="E85" s="8" t="s">
        <v>23</v>
      </c>
      <c r="F85" s="8" t="s">
        <v>66</v>
      </c>
      <c r="G85" s="8">
        <v>18</v>
      </c>
      <c r="H85" s="9">
        <v>198</v>
      </c>
      <c r="I85" s="2"/>
      <c r="J85" s="1"/>
      <c r="K85" s="1"/>
      <c r="L85" s="1"/>
      <c r="M85" s="1"/>
      <c r="N85" s="1"/>
      <c r="O85" s="1"/>
      <c r="P85" s="1"/>
      <c r="Q85" s="1"/>
      <c r="R85" s="1"/>
    </row>
    <row r="86" spans="1:18" x14ac:dyDescent="0.25">
      <c r="A86" s="7">
        <v>40568</v>
      </c>
      <c r="B86" s="7" t="s">
        <v>29</v>
      </c>
      <c r="C86" s="8" t="s">
        <v>12</v>
      </c>
      <c r="D86" s="8" t="s">
        <v>33</v>
      </c>
      <c r="E86" s="8" t="s">
        <v>28</v>
      </c>
      <c r="F86" s="8" t="s">
        <v>63</v>
      </c>
      <c r="G86" s="8">
        <v>21</v>
      </c>
      <c r="H86" s="9">
        <v>168</v>
      </c>
      <c r="I86" s="2"/>
      <c r="J86" s="1"/>
      <c r="K86" s="1"/>
      <c r="L86" s="1"/>
      <c r="M86" s="1"/>
      <c r="N86" s="1"/>
      <c r="O86" s="1"/>
      <c r="P86" s="1"/>
      <c r="Q86" s="1"/>
      <c r="R86" s="1"/>
    </row>
    <row r="87" spans="1:18" x14ac:dyDescent="0.25">
      <c r="A87" s="7">
        <v>40555</v>
      </c>
      <c r="B87" s="7" t="s">
        <v>13</v>
      </c>
      <c r="C87" s="8" t="s">
        <v>11</v>
      </c>
      <c r="D87" s="8" t="s">
        <v>33</v>
      </c>
      <c r="E87" s="8" t="s">
        <v>25</v>
      </c>
      <c r="F87" s="8" t="s">
        <v>39</v>
      </c>
      <c r="G87" s="8">
        <v>19</v>
      </c>
      <c r="H87" s="9">
        <v>175</v>
      </c>
      <c r="I87" s="2"/>
      <c r="J87" s="1"/>
      <c r="K87" s="1"/>
      <c r="L87" s="1"/>
      <c r="M87" s="1"/>
      <c r="N87" s="1"/>
      <c r="O87" s="1"/>
      <c r="P87" s="1"/>
      <c r="Q87" s="1"/>
      <c r="R87" s="1"/>
    </row>
    <row r="88" spans="1:18" x14ac:dyDescent="0.25">
      <c r="A88" s="7">
        <v>40554</v>
      </c>
      <c r="B88" s="7" t="s">
        <v>29</v>
      </c>
      <c r="C88" s="8" t="s">
        <v>9</v>
      </c>
      <c r="D88" s="8" t="s">
        <v>27</v>
      </c>
      <c r="E88" s="8" t="s">
        <v>28</v>
      </c>
      <c r="F88" s="8" t="s">
        <v>39</v>
      </c>
      <c r="G88" s="8">
        <v>14</v>
      </c>
      <c r="H88" s="9">
        <v>203</v>
      </c>
      <c r="I88" s="2"/>
      <c r="J88" s="1"/>
      <c r="K88" s="1"/>
      <c r="L88" s="1"/>
      <c r="M88" s="1"/>
      <c r="N88" s="1"/>
      <c r="O88" s="1"/>
      <c r="P88" s="1"/>
      <c r="Q88" s="1"/>
      <c r="R88" s="1"/>
    </row>
    <row r="89" spans="1:18" x14ac:dyDescent="0.25">
      <c r="A89" s="7">
        <v>40569</v>
      </c>
      <c r="B89" s="7" t="s">
        <v>13</v>
      </c>
      <c r="C89" s="8" t="s">
        <v>8</v>
      </c>
      <c r="D89" s="8" t="s">
        <v>27</v>
      </c>
      <c r="E89" s="8" t="s">
        <v>34</v>
      </c>
      <c r="F89" s="8" t="s">
        <v>66</v>
      </c>
      <c r="G89" s="8">
        <v>17</v>
      </c>
      <c r="H89" s="9">
        <v>170</v>
      </c>
      <c r="I89" s="2"/>
      <c r="J89" s="1"/>
      <c r="K89" s="1"/>
      <c r="L89" s="1"/>
      <c r="M89" s="1"/>
      <c r="N89" s="1"/>
      <c r="O89" s="1"/>
      <c r="P89" s="1"/>
      <c r="Q89" s="1"/>
      <c r="R89" s="1"/>
    </row>
    <row r="90" spans="1:18" x14ac:dyDescent="0.25">
      <c r="A90" s="7">
        <v>40553</v>
      </c>
      <c r="B90" s="7" t="s">
        <v>18</v>
      </c>
      <c r="C90" s="8" t="s">
        <v>11</v>
      </c>
      <c r="D90" s="8" t="s">
        <v>27</v>
      </c>
      <c r="E90" s="8" t="s">
        <v>19</v>
      </c>
      <c r="F90" s="8" t="s">
        <v>60</v>
      </c>
      <c r="G90" s="8">
        <v>17</v>
      </c>
      <c r="H90" s="9">
        <v>157</v>
      </c>
      <c r="I90" s="2"/>
      <c r="J90" s="1"/>
      <c r="K90" s="1"/>
      <c r="L90" s="1"/>
      <c r="M90" s="1"/>
      <c r="N90" s="1"/>
      <c r="O90" s="1"/>
      <c r="P90" s="1"/>
      <c r="Q90" s="1"/>
      <c r="R90" s="1"/>
    </row>
    <row r="91" spans="1:18" x14ac:dyDescent="0.25">
      <c r="A91" s="7">
        <v>40560</v>
      </c>
      <c r="B91" s="7" t="s">
        <v>18</v>
      </c>
      <c r="C91" s="8" t="s">
        <v>8</v>
      </c>
      <c r="D91" s="8" t="s">
        <v>33</v>
      </c>
      <c r="E91" s="8" t="s">
        <v>19</v>
      </c>
      <c r="F91" s="8" t="s">
        <v>24</v>
      </c>
      <c r="G91" s="8">
        <v>16</v>
      </c>
      <c r="H91" s="9">
        <v>160</v>
      </c>
      <c r="I91" s="2"/>
      <c r="J91" s="1"/>
      <c r="K91" s="1"/>
      <c r="L91" s="1"/>
      <c r="M91" s="1"/>
      <c r="N91" s="1"/>
      <c r="O91" s="1"/>
      <c r="P91" s="1"/>
      <c r="Q91" s="1"/>
      <c r="R91" s="1"/>
    </row>
    <row r="92" spans="1:18" x14ac:dyDescent="0.25">
      <c r="A92" s="7">
        <v>40571</v>
      </c>
      <c r="B92" s="7" t="s">
        <v>30</v>
      </c>
      <c r="C92" s="8" t="s">
        <v>10</v>
      </c>
      <c r="D92" s="8" t="s">
        <v>14</v>
      </c>
      <c r="E92" s="8" t="s">
        <v>19</v>
      </c>
      <c r="F92" s="8" t="s">
        <v>67</v>
      </c>
      <c r="G92" s="8">
        <v>15</v>
      </c>
      <c r="H92" s="9">
        <v>165</v>
      </c>
      <c r="I92" s="2"/>
      <c r="J92" s="1"/>
      <c r="K92" s="1"/>
      <c r="L92" s="1"/>
      <c r="M92" s="1"/>
      <c r="N92" s="1"/>
      <c r="O92" s="1"/>
      <c r="P92" s="1"/>
      <c r="Q92" s="1"/>
      <c r="R92" s="1"/>
    </row>
    <row r="93" spans="1:18" x14ac:dyDescent="0.25">
      <c r="A93" s="7">
        <v>40552</v>
      </c>
      <c r="B93" s="7" t="s">
        <v>32</v>
      </c>
      <c r="C93" s="8" t="s">
        <v>8</v>
      </c>
      <c r="D93" s="8" t="s">
        <v>38</v>
      </c>
      <c r="E93" s="8" t="s">
        <v>23</v>
      </c>
      <c r="F93" s="8" t="s">
        <v>53</v>
      </c>
      <c r="G93" s="8">
        <v>15</v>
      </c>
      <c r="H93" s="9">
        <v>150</v>
      </c>
      <c r="I93" s="2"/>
      <c r="J93" s="1"/>
      <c r="K93" s="1"/>
      <c r="L93" s="1"/>
      <c r="M93" s="1"/>
      <c r="N93" s="1"/>
      <c r="O93" s="1"/>
      <c r="P93" s="1"/>
      <c r="Q93" s="1"/>
      <c r="R93" s="1"/>
    </row>
    <row r="94" spans="1:18" x14ac:dyDescent="0.25">
      <c r="A94" s="7">
        <v>40567</v>
      </c>
      <c r="B94" s="7" t="s">
        <v>18</v>
      </c>
      <c r="C94" s="8" t="s">
        <v>10</v>
      </c>
      <c r="D94" s="8" t="s">
        <v>33</v>
      </c>
      <c r="E94" s="8" t="s">
        <v>28</v>
      </c>
      <c r="F94" s="8" t="s">
        <v>47</v>
      </c>
      <c r="G94" s="8">
        <v>13</v>
      </c>
      <c r="H94" s="9">
        <v>143</v>
      </c>
      <c r="I94" s="2"/>
      <c r="J94" s="1"/>
      <c r="K94" s="1"/>
      <c r="L94" s="1"/>
      <c r="M94" s="1"/>
      <c r="N94" s="1"/>
      <c r="O94" s="1"/>
      <c r="P94" s="1"/>
      <c r="Q94" s="1"/>
      <c r="R94" s="1"/>
    </row>
    <row r="95" spans="1:18" x14ac:dyDescent="0.25">
      <c r="A95" s="7">
        <v>40550</v>
      </c>
      <c r="B95" s="7" t="s">
        <v>30</v>
      </c>
      <c r="C95" s="8" t="s">
        <v>10</v>
      </c>
      <c r="D95" s="8" t="s">
        <v>33</v>
      </c>
      <c r="E95" s="8" t="s">
        <v>28</v>
      </c>
      <c r="F95" s="8" t="s">
        <v>56</v>
      </c>
      <c r="G95" s="8">
        <v>12</v>
      </c>
      <c r="H95" s="9">
        <v>132</v>
      </c>
      <c r="I95" s="2"/>
      <c r="J95" s="1"/>
      <c r="K95" s="1"/>
      <c r="L95" s="1"/>
      <c r="M95" s="1"/>
      <c r="N95" s="1"/>
      <c r="O95" s="1"/>
      <c r="P95" s="1"/>
      <c r="Q95" s="1"/>
      <c r="R95" s="1"/>
    </row>
    <row r="96" spans="1:18" x14ac:dyDescent="0.25">
      <c r="A96" s="7">
        <v>40564</v>
      </c>
      <c r="B96" s="7" t="s">
        <v>30</v>
      </c>
      <c r="C96" s="8" t="s">
        <v>11</v>
      </c>
      <c r="D96" s="8" t="s">
        <v>38</v>
      </c>
      <c r="E96" s="8" t="s">
        <v>15</v>
      </c>
      <c r="F96" s="8" t="s">
        <v>56</v>
      </c>
      <c r="G96" s="8">
        <v>13</v>
      </c>
      <c r="H96" s="9">
        <v>120</v>
      </c>
      <c r="I96" s="2"/>
      <c r="J96" s="1"/>
      <c r="K96" s="1"/>
      <c r="L96" s="1"/>
      <c r="M96" s="1"/>
      <c r="N96" s="1"/>
      <c r="O96" s="1"/>
      <c r="P96" s="1"/>
      <c r="Q96" s="1"/>
      <c r="R96" s="1"/>
    </row>
    <row r="97" spans="1:18" x14ac:dyDescent="0.25">
      <c r="A97" s="7">
        <v>40572</v>
      </c>
      <c r="B97" s="7" t="s">
        <v>31</v>
      </c>
      <c r="C97" s="8" t="s">
        <v>9</v>
      </c>
      <c r="D97" s="8" t="s">
        <v>33</v>
      </c>
      <c r="E97" s="8" t="s">
        <v>25</v>
      </c>
      <c r="F97" s="8" t="s">
        <v>50</v>
      </c>
      <c r="G97" s="8">
        <v>10</v>
      </c>
      <c r="H97" s="9">
        <v>145</v>
      </c>
      <c r="I97" s="2"/>
      <c r="J97" s="1"/>
      <c r="K97" s="1"/>
      <c r="L97" s="1"/>
      <c r="M97" s="1"/>
      <c r="N97" s="1"/>
      <c r="O97" s="1"/>
      <c r="P97" s="1"/>
      <c r="Q97" s="1"/>
      <c r="R97" s="1"/>
    </row>
    <row r="98" spans="1:18" x14ac:dyDescent="0.25">
      <c r="A98" s="7">
        <v>40560</v>
      </c>
      <c r="B98" s="7" t="s">
        <v>18</v>
      </c>
      <c r="C98" s="8" t="s">
        <v>9</v>
      </c>
      <c r="D98" s="8" t="s">
        <v>14</v>
      </c>
      <c r="E98" s="8" t="s">
        <v>34</v>
      </c>
      <c r="F98" s="8" t="s">
        <v>24</v>
      </c>
      <c r="G98" s="8">
        <v>10</v>
      </c>
      <c r="H98" s="9">
        <v>145</v>
      </c>
      <c r="I98" s="2"/>
      <c r="J98" s="1"/>
      <c r="K98" s="1"/>
      <c r="L98" s="1"/>
      <c r="M98" s="1"/>
      <c r="N98" s="1"/>
      <c r="O98" s="1"/>
      <c r="P98" s="1"/>
      <c r="Q98" s="1"/>
      <c r="R98" s="1"/>
    </row>
    <row r="99" spans="1:18" x14ac:dyDescent="0.25">
      <c r="A99" s="7">
        <v>40561</v>
      </c>
      <c r="B99" s="7" t="s">
        <v>29</v>
      </c>
      <c r="C99" s="8" t="s">
        <v>11</v>
      </c>
      <c r="D99" s="8" t="s">
        <v>27</v>
      </c>
      <c r="E99" s="8" t="s">
        <v>25</v>
      </c>
      <c r="F99" s="8" t="s">
        <v>58</v>
      </c>
      <c r="G99" s="8">
        <v>12</v>
      </c>
      <c r="H99" s="9">
        <v>111</v>
      </c>
      <c r="I99" s="2"/>
      <c r="J99" s="1"/>
      <c r="K99" s="1"/>
      <c r="L99" s="1"/>
      <c r="M99" s="1"/>
      <c r="N99" s="1"/>
      <c r="O99" s="1"/>
      <c r="P99" s="1"/>
      <c r="Q99" s="1"/>
      <c r="R99" s="1"/>
    </row>
    <row r="100" spans="1:18" x14ac:dyDescent="0.25">
      <c r="A100" s="7">
        <v>40564</v>
      </c>
      <c r="B100" s="7" t="s">
        <v>30</v>
      </c>
      <c r="C100" s="8" t="s">
        <v>8</v>
      </c>
      <c r="D100" s="8" t="s">
        <v>38</v>
      </c>
      <c r="E100" s="8" t="s">
        <v>19</v>
      </c>
      <c r="F100" s="8" t="s">
        <v>65</v>
      </c>
      <c r="G100" s="8">
        <v>11</v>
      </c>
      <c r="H100" s="9">
        <v>110</v>
      </c>
      <c r="I100" s="2"/>
      <c r="J100" s="1"/>
      <c r="K100" s="1"/>
      <c r="L100" s="1"/>
      <c r="M100" s="1"/>
      <c r="N100" s="1"/>
      <c r="O100" s="1"/>
      <c r="P100" s="1"/>
      <c r="Q100" s="1"/>
      <c r="R100" s="1"/>
    </row>
    <row r="101" spans="1:18" x14ac:dyDescent="0.25">
      <c r="A101" s="7">
        <v>40570</v>
      </c>
      <c r="B101" s="7" t="s">
        <v>22</v>
      </c>
      <c r="C101" s="8" t="s">
        <v>10</v>
      </c>
      <c r="D101" s="8" t="s">
        <v>14</v>
      </c>
      <c r="E101" s="8" t="s">
        <v>25</v>
      </c>
      <c r="F101" s="8" t="s">
        <v>53</v>
      </c>
      <c r="G101" s="8">
        <v>10</v>
      </c>
      <c r="H101" s="9">
        <v>110</v>
      </c>
      <c r="I101" s="2"/>
      <c r="J101" s="1"/>
      <c r="K101" s="1"/>
      <c r="L101" s="1"/>
      <c r="M101" s="1"/>
      <c r="N101" s="1"/>
      <c r="O101" s="1"/>
      <c r="P101" s="1"/>
      <c r="Q101" s="1"/>
      <c r="R101" s="1"/>
    </row>
    <row r="102" spans="1:18" x14ac:dyDescent="0.25">
      <c r="A102" s="7">
        <v>40548</v>
      </c>
      <c r="B102" s="7" t="s">
        <v>13</v>
      </c>
      <c r="C102" s="8" t="s">
        <v>12</v>
      </c>
      <c r="D102" s="8" t="s">
        <v>14</v>
      </c>
      <c r="E102" s="8" t="s">
        <v>28</v>
      </c>
      <c r="F102" s="8" t="s">
        <v>44</v>
      </c>
      <c r="G102" s="8">
        <v>12</v>
      </c>
      <c r="H102" s="9">
        <v>96</v>
      </c>
      <c r="I102" s="2"/>
      <c r="J102" s="1"/>
      <c r="K102" s="1"/>
      <c r="L102" s="1"/>
      <c r="M102" s="1"/>
      <c r="N102" s="1"/>
      <c r="O102" s="1"/>
      <c r="P102" s="1"/>
      <c r="Q102" s="1"/>
      <c r="R102" s="1"/>
    </row>
    <row r="103" spans="1:18" x14ac:dyDescent="0.25">
      <c r="A103" s="7">
        <v>40563</v>
      </c>
      <c r="B103" s="7" t="s">
        <v>22</v>
      </c>
      <c r="C103" s="8" t="s">
        <v>8</v>
      </c>
      <c r="D103" s="8" t="s">
        <v>27</v>
      </c>
      <c r="E103" s="8" t="s">
        <v>25</v>
      </c>
      <c r="F103" s="8" t="s">
        <v>59</v>
      </c>
      <c r="G103" s="8">
        <v>10</v>
      </c>
      <c r="H103" s="9">
        <v>100</v>
      </c>
      <c r="I103" s="2"/>
      <c r="J103" s="1"/>
      <c r="K103" s="1"/>
      <c r="L103" s="1"/>
      <c r="M103" s="1"/>
      <c r="N103" s="1"/>
      <c r="O103" s="1"/>
      <c r="P103" s="1"/>
      <c r="Q103" s="1"/>
      <c r="R103" s="1"/>
    </row>
    <row r="104" spans="1:18" x14ac:dyDescent="0.25">
      <c r="A104" s="7">
        <v>40558</v>
      </c>
      <c r="B104" s="7" t="s">
        <v>31</v>
      </c>
      <c r="C104" s="8" t="s">
        <v>12</v>
      </c>
      <c r="D104" s="8" t="s">
        <v>33</v>
      </c>
      <c r="E104" s="8" t="s">
        <v>34</v>
      </c>
      <c r="F104" s="8" t="s">
        <v>52</v>
      </c>
      <c r="G104" s="8">
        <v>11</v>
      </c>
      <c r="H104" s="9">
        <v>88</v>
      </c>
      <c r="I104" s="2"/>
      <c r="J104" s="1"/>
      <c r="K104" s="1"/>
      <c r="L104" s="1"/>
      <c r="M104" s="1"/>
      <c r="N104" s="1"/>
      <c r="O104" s="1"/>
      <c r="P104" s="1"/>
      <c r="Q104" s="1"/>
      <c r="R104" s="1"/>
    </row>
    <row r="105" spans="1:18" x14ac:dyDescent="0.25">
      <c r="A105" s="7">
        <v>40566</v>
      </c>
      <c r="B105" s="7" t="s">
        <v>32</v>
      </c>
      <c r="C105" s="8" t="s">
        <v>8</v>
      </c>
      <c r="D105" s="8" t="s">
        <v>27</v>
      </c>
      <c r="E105" s="8" t="s">
        <v>25</v>
      </c>
      <c r="F105" s="8" t="s">
        <v>61</v>
      </c>
      <c r="G105" s="8">
        <v>123</v>
      </c>
      <c r="H105" s="9">
        <v>90</v>
      </c>
      <c r="I105" s="2"/>
      <c r="J105" s="1"/>
      <c r="K105" s="1"/>
      <c r="L105" s="1"/>
      <c r="M105" s="1"/>
      <c r="N105" s="1"/>
      <c r="O105" s="1"/>
      <c r="P105" s="1"/>
      <c r="Q105" s="1"/>
      <c r="R105" s="1"/>
    </row>
    <row r="106" spans="1:18" x14ac:dyDescent="0.25">
      <c r="A106" s="7">
        <v>40553</v>
      </c>
      <c r="B106" s="7" t="s">
        <v>18</v>
      </c>
      <c r="C106" s="8" t="s">
        <v>8</v>
      </c>
      <c r="D106" s="8" t="s">
        <v>33</v>
      </c>
      <c r="E106" s="8" t="s">
        <v>25</v>
      </c>
      <c r="F106" s="8" t="s">
        <v>37</v>
      </c>
      <c r="G106" s="8">
        <v>456</v>
      </c>
      <c r="H106" s="9">
        <v>70</v>
      </c>
      <c r="I106" s="2"/>
      <c r="J106" s="1"/>
      <c r="K106" s="1"/>
      <c r="L106" s="1"/>
      <c r="M106" s="1"/>
      <c r="N106" s="1"/>
      <c r="O106" s="1"/>
      <c r="P106" s="1"/>
      <c r="Q106" s="1"/>
      <c r="R106" s="1"/>
    </row>
    <row r="107" spans="1:18" x14ac:dyDescent="0.25">
      <c r="A107" s="7">
        <v>40555</v>
      </c>
      <c r="B107" s="7" t="s">
        <v>13</v>
      </c>
      <c r="C107" s="8" t="s">
        <v>8</v>
      </c>
      <c r="D107" s="8" t="s">
        <v>38</v>
      </c>
      <c r="E107" s="8" t="s">
        <v>34</v>
      </c>
      <c r="F107" s="8" t="s">
        <v>57</v>
      </c>
      <c r="G107" s="8">
        <v>43</v>
      </c>
      <c r="H107" s="9">
        <v>70</v>
      </c>
      <c r="I107" s="2"/>
      <c r="J107" s="1"/>
      <c r="K107" s="1"/>
      <c r="L107" s="1"/>
      <c r="M107" s="1"/>
      <c r="N107" s="1"/>
      <c r="O107" s="1"/>
      <c r="P107" s="1"/>
      <c r="Q107" s="1"/>
      <c r="R107" s="1"/>
    </row>
    <row r="108" spans="1:18" x14ac:dyDescent="0.25">
      <c r="A108" s="7">
        <v>40553</v>
      </c>
      <c r="B108" s="7" t="s">
        <v>18</v>
      </c>
      <c r="C108" s="8" t="s">
        <v>12</v>
      </c>
      <c r="D108" s="8" t="s">
        <v>33</v>
      </c>
      <c r="E108" s="8" t="s">
        <v>19</v>
      </c>
      <c r="F108" s="8" t="s">
        <v>54</v>
      </c>
      <c r="G108" s="8">
        <v>782</v>
      </c>
      <c r="H108" s="9">
        <v>64</v>
      </c>
      <c r="I108" s="2"/>
      <c r="J108" s="1"/>
      <c r="K108" s="1"/>
      <c r="L108" s="1"/>
      <c r="M108" s="1"/>
      <c r="N108" s="1"/>
      <c r="O108" s="1"/>
      <c r="P108" s="1"/>
      <c r="Q108" s="1"/>
      <c r="R108" s="1"/>
    </row>
    <row r="109" spans="1:18" x14ac:dyDescent="0.25">
      <c r="A109" s="7">
        <v>40561</v>
      </c>
      <c r="B109" s="7" t="s">
        <v>29</v>
      </c>
      <c r="C109" s="8" t="s">
        <v>12</v>
      </c>
      <c r="D109" s="8" t="s">
        <v>14</v>
      </c>
      <c r="E109" s="8" t="s">
        <v>23</v>
      </c>
      <c r="F109" s="8" t="s">
        <v>46</v>
      </c>
      <c r="G109" s="8">
        <v>451</v>
      </c>
      <c r="H109" s="9">
        <v>64</v>
      </c>
      <c r="I109" s="2"/>
      <c r="J109" s="1"/>
      <c r="K109" s="1"/>
      <c r="L109" s="1"/>
      <c r="M109" s="1"/>
      <c r="N109" s="1"/>
      <c r="O109" s="1"/>
      <c r="P109" s="1"/>
      <c r="Q109" s="1"/>
      <c r="R109" s="1"/>
    </row>
    <row r="110" spans="1:18" x14ac:dyDescent="0.25">
      <c r="A110" s="7">
        <v>40565</v>
      </c>
      <c r="B110" s="7" t="s">
        <v>31</v>
      </c>
      <c r="C110" s="8" t="s">
        <v>8</v>
      </c>
      <c r="D110" s="8" t="s">
        <v>14</v>
      </c>
      <c r="E110" s="8" t="s">
        <v>19</v>
      </c>
      <c r="F110" s="8" t="s">
        <v>57</v>
      </c>
      <c r="G110" s="8">
        <v>871</v>
      </c>
      <c r="H110" s="9">
        <v>60</v>
      </c>
      <c r="I110" s="2"/>
      <c r="J110" s="1"/>
      <c r="K110" s="1"/>
      <c r="L110" s="1"/>
      <c r="M110" s="1"/>
      <c r="N110" s="1"/>
      <c r="O110" s="1"/>
      <c r="P110" s="1"/>
      <c r="Q110" s="1"/>
      <c r="R110" s="1"/>
    </row>
    <row r="111" spans="1:18" x14ac:dyDescent="0.25">
      <c r="A111" s="7">
        <v>40546</v>
      </c>
      <c r="B111" s="7" t="s">
        <v>18</v>
      </c>
      <c r="C111" s="8" t="s">
        <v>12</v>
      </c>
      <c r="D111" s="8" t="s">
        <v>38</v>
      </c>
      <c r="E111" s="8" t="s">
        <v>23</v>
      </c>
      <c r="F111" s="8" t="s">
        <v>24</v>
      </c>
      <c r="G111" s="8">
        <v>902</v>
      </c>
      <c r="H111" s="9">
        <v>48</v>
      </c>
      <c r="I111" s="2"/>
      <c r="J111" s="1"/>
      <c r="K111" s="1"/>
      <c r="L111" s="1"/>
      <c r="M111" s="1"/>
      <c r="N111" s="1"/>
      <c r="O111" s="1"/>
      <c r="P111" s="1"/>
      <c r="Q111" s="1"/>
      <c r="R111" s="1"/>
    </row>
    <row r="112" spans="1:18" x14ac:dyDescent="0.25">
      <c r="A112" s="1"/>
      <c r="B112" s="1"/>
      <c r="C112" s="1"/>
      <c r="D112" s="1"/>
      <c r="E112" s="1"/>
      <c r="F112" s="1"/>
      <c r="G112" s="11">
        <f>SUM(G7:G111)</f>
        <v>7178.0000000018626</v>
      </c>
      <c r="H112" s="22"/>
      <c r="I112" s="2"/>
      <c r="J112" s="1"/>
      <c r="K112" s="1"/>
      <c r="L112" s="1"/>
      <c r="M112" s="1"/>
      <c r="N112" s="1"/>
      <c r="O112" s="1"/>
      <c r="P112" s="1"/>
      <c r="Q112" s="1"/>
      <c r="R1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E1D3C-1D2B-4767-A706-01A863A0C770}">
  <dimension ref="A2:E8"/>
  <sheetViews>
    <sheetView workbookViewId="0">
      <selection activeCell="C7" sqref="C7"/>
    </sheetView>
  </sheetViews>
  <sheetFormatPr defaultRowHeight="15" x14ac:dyDescent="0.25"/>
  <sheetData>
    <row r="2" spans="1:5" x14ac:dyDescent="0.25">
      <c r="A2" t="s">
        <v>89</v>
      </c>
      <c r="B2" t="s">
        <v>90</v>
      </c>
      <c r="C2" t="s">
        <v>7</v>
      </c>
      <c r="D2" t="s">
        <v>21</v>
      </c>
    </row>
    <row r="3" spans="1:5" x14ac:dyDescent="0.25">
      <c r="A3" t="s">
        <v>91</v>
      </c>
      <c r="B3">
        <v>7</v>
      </c>
      <c r="C3">
        <v>100</v>
      </c>
      <c r="D3">
        <f>B3*C3</f>
        <v>700</v>
      </c>
    </row>
    <row r="4" spans="1:5" x14ac:dyDescent="0.25">
      <c r="A4" t="s">
        <v>92</v>
      </c>
      <c r="B4">
        <v>6</v>
      </c>
      <c r="C4">
        <v>34</v>
      </c>
      <c r="D4">
        <f t="shared" ref="D4:D7" si="0">B4*C4</f>
        <v>204</v>
      </c>
    </row>
    <row r="5" spans="1:5" x14ac:dyDescent="0.25">
      <c r="A5" t="s">
        <v>93</v>
      </c>
      <c r="B5">
        <v>9</v>
      </c>
      <c r="C5">
        <v>76</v>
      </c>
      <c r="D5">
        <f t="shared" si="0"/>
        <v>684</v>
      </c>
    </row>
    <row r="6" spans="1:5" x14ac:dyDescent="0.25">
      <c r="A6" t="s">
        <v>94</v>
      </c>
      <c r="B6">
        <v>8</v>
      </c>
      <c r="C6">
        <v>89</v>
      </c>
      <c r="D6">
        <f t="shared" si="0"/>
        <v>712</v>
      </c>
    </row>
    <row r="7" spans="1:5" x14ac:dyDescent="0.25">
      <c r="A7" t="s">
        <v>95</v>
      </c>
      <c r="B7">
        <v>6</v>
      </c>
      <c r="C7">
        <v>101</v>
      </c>
      <c r="D7">
        <f t="shared" si="0"/>
        <v>606</v>
      </c>
    </row>
    <row r="8" spans="1:5" x14ac:dyDescent="0.25">
      <c r="D8">
        <f>SUM(D3:D7)</f>
        <v>2906</v>
      </c>
      <c r="E8">
        <f>SUMPRODUCT(B3:B7,C3:C7)</f>
        <v>2906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A89A2-749B-43AD-BF84-08050BB3D09A}">
  <dimension ref="A2:H14"/>
  <sheetViews>
    <sheetView workbookViewId="0">
      <selection activeCell="L13" sqref="L13"/>
    </sheetView>
  </sheetViews>
  <sheetFormatPr defaultRowHeight="15" x14ac:dyDescent="0.25"/>
  <sheetData>
    <row r="2" spans="1:8" ht="15.75" x14ac:dyDescent="0.25">
      <c r="A2" s="23" t="s">
        <v>68</v>
      </c>
      <c r="B2" s="24"/>
      <c r="C2" s="24"/>
      <c r="D2" s="24"/>
      <c r="E2" s="24"/>
    </row>
    <row r="3" spans="1:8" x14ac:dyDescent="0.25">
      <c r="A3" s="24"/>
      <c r="B3" s="24"/>
      <c r="C3" s="24"/>
      <c r="D3" s="24"/>
      <c r="E3" s="24"/>
    </row>
    <row r="4" spans="1:8" ht="15.75" thickBot="1" x14ac:dyDescent="0.3">
      <c r="A4" s="25" t="s">
        <v>69</v>
      </c>
      <c r="B4" s="25" t="s">
        <v>70</v>
      </c>
      <c r="C4" s="25" t="s">
        <v>71</v>
      </c>
      <c r="D4" s="25" t="s">
        <v>72</v>
      </c>
      <c r="E4" s="25" t="s">
        <v>73</v>
      </c>
      <c r="H4">
        <f>COUNTIF(E5:E14,"&gt;70")</f>
        <v>4</v>
      </c>
    </row>
    <row r="5" spans="1:8" x14ac:dyDescent="0.25">
      <c r="A5" s="24" t="s">
        <v>74</v>
      </c>
      <c r="B5" s="24" t="s">
        <v>75</v>
      </c>
      <c r="C5" s="24" t="s">
        <v>76</v>
      </c>
      <c r="D5" s="26">
        <v>34</v>
      </c>
      <c r="E5" s="26">
        <v>71</v>
      </c>
      <c r="H5">
        <f>COUNTIF(D5:D13,"&gt;35")</f>
        <v>6</v>
      </c>
    </row>
    <row r="6" spans="1:8" x14ac:dyDescent="0.25">
      <c r="A6" s="24" t="s">
        <v>77</v>
      </c>
      <c r="B6" s="24" t="s">
        <v>78</v>
      </c>
      <c r="C6" s="24" t="s">
        <v>76</v>
      </c>
      <c r="D6" s="26">
        <v>38</v>
      </c>
      <c r="E6" s="26">
        <v>57</v>
      </c>
      <c r="H6">
        <f>COUNTIF(C5:C13,"yes")</f>
        <v>5</v>
      </c>
    </row>
    <row r="7" spans="1:8" x14ac:dyDescent="0.25">
      <c r="A7" s="24" t="s">
        <v>79</v>
      </c>
      <c r="B7" s="24" t="s">
        <v>80</v>
      </c>
      <c r="C7" s="24" t="s">
        <v>76</v>
      </c>
      <c r="D7" s="26">
        <v>38</v>
      </c>
      <c r="E7" s="26">
        <v>64</v>
      </c>
      <c r="H7">
        <f>COUNTIF(B5:B13,"Germany")</f>
        <v>3</v>
      </c>
    </row>
    <row r="8" spans="1:8" x14ac:dyDescent="0.25">
      <c r="A8" s="24" t="s">
        <v>81</v>
      </c>
      <c r="B8" s="24" t="s">
        <v>75</v>
      </c>
      <c r="C8" s="24" t="s">
        <v>82</v>
      </c>
      <c r="D8" s="26">
        <v>34</v>
      </c>
      <c r="E8" s="26">
        <v>27</v>
      </c>
      <c r="H8">
        <f>COUNTIF(B5:B13,"England")</f>
        <v>3</v>
      </c>
    </row>
    <row r="9" spans="1:8" x14ac:dyDescent="0.25">
      <c r="A9" s="24" t="s">
        <v>83</v>
      </c>
      <c r="B9" s="24" t="s">
        <v>78</v>
      </c>
      <c r="C9" s="24" t="s">
        <v>82</v>
      </c>
      <c r="D9" s="26">
        <v>38</v>
      </c>
      <c r="E9" s="26">
        <v>56</v>
      </c>
      <c r="H9">
        <f>COUNTIF(E5:E13,"&lt;30")</f>
        <v>1</v>
      </c>
    </row>
    <row r="10" spans="1:8" x14ac:dyDescent="0.25">
      <c r="A10" s="24" t="s">
        <v>84</v>
      </c>
      <c r="B10" s="24" t="s">
        <v>78</v>
      </c>
      <c r="C10" s="24" t="s">
        <v>82</v>
      </c>
      <c r="D10" s="26">
        <v>38</v>
      </c>
      <c r="E10" s="26">
        <v>65</v>
      </c>
      <c r="H10" s="24">
        <f>COUNTIF(E5:E13,"&gt;60")</f>
        <v>6</v>
      </c>
    </row>
    <row r="11" spans="1:8" x14ac:dyDescent="0.25">
      <c r="A11" s="24" t="s">
        <v>85</v>
      </c>
      <c r="B11" s="24" t="s">
        <v>75</v>
      </c>
      <c r="C11" s="24" t="s">
        <v>76</v>
      </c>
      <c r="D11" s="26">
        <v>34</v>
      </c>
      <c r="E11" s="26">
        <v>90</v>
      </c>
    </row>
    <row r="12" spans="1:8" x14ac:dyDescent="0.25">
      <c r="A12" s="24" t="s">
        <v>86</v>
      </c>
      <c r="B12" s="24" t="s">
        <v>80</v>
      </c>
      <c r="C12" s="24" t="s">
        <v>82</v>
      </c>
      <c r="D12" s="26">
        <v>38</v>
      </c>
      <c r="E12" s="26">
        <v>84</v>
      </c>
    </row>
    <row r="13" spans="1:8" x14ac:dyDescent="0.25">
      <c r="A13" s="24" t="s">
        <v>87</v>
      </c>
      <c r="B13" s="24" t="s">
        <v>80</v>
      </c>
      <c r="C13" s="24" t="s">
        <v>76</v>
      </c>
      <c r="D13" s="26">
        <v>38</v>
      </c>
      <c r="E13" s="26">
        <v>79</v>
      </c>
    </row>
    <row r="14" spans="1:8" x14ac:dyDescent="0.25">
      <c r="A14" s="24"/>
      <c r="B14" s="24"/>
      <c r="C14" s="24"/>
      <c r="D14" s="2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B5D9E-CA9B-48CB-B92E-AFA2D0BF7735}">
  <dimension ref="A1:O14"/>
  <sheetViews>
    <sheetView tabSelected="1" zoomScaleNormal="100" workbookViewId="0">
      <selection activeCell="O15" sqref="O15"/>
    </sheetView>
  </sheetViews>
  <sheetFormatPr defaultRowHeight="15" x14ac:dyDescent="0.25"/>
  <sheetData>
    <row r="1" spans="1:15" ht="15.75" x14ac:dyDescent="0.25">
      <c r="A1" s="23" t="s">
        <v>88</v>
      </c>
      <c r="B1" s="24"/>
      <c r="C1" s="24"/>
      <c r="D1" s="24"/>
      <c r="E1" s="24"/>
    </row>
    <row r="2" spans="1:15" x14ac:dyDescent="0.25">
      <c r="A2" s="24"/>
      <c r="B2" s="24"/>
      <c r="C2" s="24"/>
      <c r="D2" s="24"/>
      <c r="E2" s="24"/>
    </row>
    <row r="3" spans="1:15" ht="15.75" thickBot="1" x14ac:dyDescent="0.3">
      <c r="A3" s="25" t="s">
        <v>69</v>
      </c>
      <c r="B3" s="25" t="s">
        <v>70</v>
      </c>
      <c r="C3" s="25" t="s">
        <v>71</v>
      </c>
      <c r="D3" s="25" t="s">
        <v>72</v>
      </c>
      <c r="E3" s="25" t="s">
        <v>73</v>
      </c>
      <c r="K3" s="30" t="s">
        <v>96</v>
      </c>
      <c r="L3" s="30" t="s">
        <v>70</v>
      </c>
      <c r="M3" s="30" t="s">
        <v>97</v>
      </c>
      <c r="N3" s="30" t="s">
        <v>98</v>
      </c>
      <c r="O3" s="30" t="s">
        <v>99</v>
      </c>
    </row>
    <row r="4" spans="1:15" x14ac:dyDescent="0.25">
      <c r="A4" s="24" t="s">
        <v>74</v>
      </c>
      <c r="B4" s="24" t="s">
        <v>75</v>
      </c>
      <c r="C4" s="24" t="s">
        <v>76</v>
      </c>
      <c r="D4" s="26">
        <v>34</v>
      </c>
      <c r="E4" s="26">
        <v>71</v>
      </c>
      <c r="K4" t="s">
        <v>74</v>
      </c>
      <c r="L4" t="str">
        <f>VLOOKUP(K4,A4:E12,2,0)</f>
        <v>Germany</v>
      </c>
      <c r="M4" t="str">
        <f>VLOOKUP(K4,A4:E12,3,0)</f>
        <v>Yes</v>
      </c>
      <c r="N4">
        <f>VLOOKUP(K4,A4:E12,4,0)</f>
        <v>34</v>
      </c>
      <c r="O4">
        <f>VLOOKUP(K4,A4:E12,5,0)</f>
        <v>71</v>
      </c>
    </row>
    <row r="5" spans="1:15" x14ac:dyDescent="0.25">
      <c r="A5" s="24" t="s">
        <v>77</v>
      </c>
      <c r="B5" s="24" t="s">
        <v>78</v>
      </c>
      <c r="C5" s="24" t="s">
        <v>76</v>
      </c>
      <c r="D5" s="26">
        <v>38</v>
      </c>
      <c r="E5" s="26">
        <v>57</v>
      </c>
      <c r="K5" t="s">
        <v>77</v>
      </c>
      <c r="L5" t="str">
        <f>VLOOKUP(K5,A4:E12,2,0)</f>
        <v>Italy</v>
      </c>
      <c r="M5" t="str">
        <f t="shared" ref="M5:M12" si="0">VLOOKUP(K5,A5:E13,3,0)</f>
        <v>Yes</v>
      </c>
      <c r="N5">
        <f t="shared" ref="N5:N12" si="1">VLOOKUP(K5,A5:E13,4,0)</f>
        <v>38</v>
      </c>
      <c r="O5">
        <f t="shared" ref="O5:O12" si="2">VLOOKUP(K5,A5:E13,5,0)</f>
        <v>57</v>
      </c>
    </row>
    <row r="6" spans="1:15" x14ac:dyDescent="0.25">
      <c r="A6" s="24" t="s">
        <v>79</v>
      </c>
      <c r="B6" s="24" t="s">
        <v>80</v>
      </c>
      <c r="C6" s="24" t="s">
        <v>76</v>
      </c>
      <c r="D6" s="26">
        <v>38</v>
      </c>
      <c r="E6" s="26">
        <v>64</v>
      </c>
      <c r="I6">
        <f>COUNTIFS(A4:A12,"Lazio",C4:C12,"no",E4:E12,"&lt;60")</f>
        <v>1</v>
      </c>
      <c r="K6" t="s">
        <v>79</v>
      </c>
      <c r="L6" t="str">
        <f t="shared" ref="L6:L12" si="3">VLOOKUP(K6,A5:E13,2,0)</f>
        <v>England</v>
      </c>
      <c r="M6" t="str">
        <f t="shared" si="0"/>
        <v>Yes</v>
      </c>
      <c r="N6">
        <f t="shared" si="1"/>
        <v>38</v>
      </c>
      <c r="O6">
        <f t="shared" si="2"/>
        <v>64</v>
      </c>
    </row>
    <row r="7" spans="1:15" x14ac:dyDescent="0.25">
      <c r="A7" s="24" t="s">
        <v>81</v>
      </c>
      <c r="B7" s="24" t="s">
        <v>75</v>
      </c>
      <c r="C7" s="24" t="s">
        <v>82</v>
      </c>
      <c r="D7" s="26">
        <v>34</v>
      </c>
      <c r="E7" s="26">
        <v>27</v>
      </c>
      <c r="K7" t="s">
        <v>81</v>
      </c>
      <c r="L7" t="str">
        <f t="shared" si="3"/>
        <v>Germany</v>
      </c>
      <c r="M7" t="str">
        <f t="shared" si="0"/>
        <v>No</v>
      </c>
      <c r="N7">
        <f t="shared" si="1"/>
        <v>34</v>
      </c>
      <c r="O7">
        <f t="shared" si="2"/>
        <v>27</v>
      </c>
    </row>
    <row r="8" spans="1:15" x14ac:dyDescent="0.25">
      <c r="A8" s="24" t="s">
        <v>83</v>
      </c>
      <c r="B8" s="24" t="s">
        <v>78</v>
      </c>
      <c r="C8" s="24" t="s">
        <v>82</v>
      </c>
      <c r="D8" s="26">
        <v>38</v>
      </c>
      <c r="E8" s="26">
        <v>56</v>
      </c>
      <c r="K8" t="s">
        <v>83</v>
      </c>
      <c r="L8" t="str">
        <f t="shared" si="3"/>
        <v>Italy</v>
      </c>
      <c r="M8" t="str">
        <f t="shared" si="0"/>
        <v>No</v>
      </c>
      <c r="N8">
        <f t="shared" si="1"/>
        <v>38</v>
      </c>
      <c r="O8">
        <f t="shared" si="2"/>
        <v>56</v>
      </c>
    </row>
    <row r="9" spans="1:15" x14ac:dyDescent="0.25">
      <c r="A9" s="24" t="s">
        <v>84</v>
      </c>
      <c r="B9" s="24" t="s">
        <v>78</v>
      </c>
      <c r="C9" s="24" t="s">
        <v>82</v>
      </c>
      <c r="D9" s="26">
        <v>38</v>
      </c>
      <c r="E9" s="26">
        <v>65</v>
      </c>
      <c r="G9">
        <f>COUNTIFS(B4:B12,"yes",D4:D12,"=34")</f>
        <v>0</v>
      </c>
      <c r="I9">
        <f>COUNTIFS(B4:B12,"Italy",E4:E12,"&lt;70",C4:C12,"Yes")</f>
        <v>1</v>
      </c>
      <c r="K9" t="s">
        <v>84</v>
      </c>
      <c r="L9" t="str">
        <f t="shared" si="3"/>
        <v>Italy</v>
      </c>
      <c r="M9" t="str">
        <f t="shared" si="0"/>
        <v>No</v>
      </c>
      <c r="N9">
        <f t="shared" si="1"/>
        <v>38</v>
      </c>
      <c r="O9">
        <f t="shared" si="2"/>
        <v>65</v>
      </c>
    </row>
    <row r="10" spans="1:15" x14ac:dyDescent="0.25">
      <c r="A10" s="24" t="s">
        <v>85</v>
      </c>
      <c r="B10" s="24" t="s">
        <v>75</v>
      </c>
      <c r="C10" s="24" t="s">
        <v>76</v>
      </c>
      <c r="D10" s="26">
        <v>34</v>
      </c>
      <c r="E10" s="26">
        <v>90</v>
      </c>
      <c r="G10">
        <f>COUNTIFS(B4:B12,"Germany",C4:C12,"Yes")</f>
        <v>2</v>
      </c>
      <c r="K10" t="s">
        <v>85</v>
      </c>
      <c r="L10" t="str">
        <f t="shared" si="3"/>
        <v>Germany</v>
      </c>
      <c r="M10" t="str">
        <f t="shared" si="0"/>
        <v>Yes</v>
      </c>
      <c r="N10">
        <f t="shared" si="1"/>
        <v>34</v>
      </c>
      <c r="O10">
        <f t="shared" si="2"/>
        <v>90</v>
      </c>
    </row>
    <row r="11" spans="1:15" x14ac:dyDescent="0.25">
      <c r="A11" s="24" t="s">
        <v>86</v>
      </c>
      <c r="B11" s="24" t="s">
        <v>80</v>
      </c>
      <c r="C11" s="24" t="s">
        <v>82</v>
      </c>
      <c r="D11" s="26">
        <v>38</v>
      </c>
      <c r="E11" s="26">
        <v>84</v>
      </c>
      <c r="I11">
        <f>COUNTIFS(B4:B12,"Italy",D4:D12,"&gt;37")</f>
        <v>3</v>
      </c>
      <c r="K11" t="s">
        <v>86</v>
      </c>
      <c r="L11" t="str">
        <f t="shared" si="3"/>
        <v>England</v>
      </c>
      <c r="M11" t="str">
        <f t="shared" si="0"/>
        <v>No</v>
      </c>
      <c r="N11">
        <f t="shared" si="1"/>
        <v>38</v>
      </c>
      <c r="O11">
        <f t="shared" si="2"/>
        <v>84</v>
      </c>
    </row>
    <row r="12" spans="1:15" x14ac:dyDescent="0.25">
      <c r="A12" s="24" t="s">
        <v>87</v>
      </c>
      <c r="B12" s="24" t="s">
        <v>80</v>
      </c>
      <c r="C12" s="24" t="s">
        <v>76</v>
      </c>
      <c r="D12" s="26">
        <v>38</v>
      </c>
      <c r="E12" s="26">
        <v>79</v>
      </c>
      <c r="K12" t="s">
        <v>87</v>
      </c>
      <c r="L12" t="str">
        <f t="shared" si="3"/>
        <v>England</v>
      </c>
      <c r="M12" t="str">
        <f t="shared" si="0"/>
        <v>Yes</v>
      </c>
      <c r="N12">
        <f t="shared" si="1"/>
        <v>38</v>
      </c>
      <c r="O12">
        <f t="shared" si="2"/>
        <v>79</v>
      </c>
    </row>
    <row r="13" spans="1:15" x14ac:dyDescent="0.25">
      <c r="A13" s="24"/>
      <c r="B13" s="24"/>
      <c r="C13" s="24"/>
      <c r="D13" s="24"/>
      <c r="E13" s="24"/>
    </row>
    <row r="14" spans="1:15" x14ac:dyDescent="0.25">
      <c r="E14">
        <f>COUNTIFS(B4:B12,"Germany",C4:C12,"yes")</f>
        <v>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351BA-4C01-4C7E-8547-5C34F867914C}">
  <dimension ref="A1:F12"/>
  <sheetViews>
    <sheetView workbookViewId="0">
      <selection activeCell="F12" sqref="F12"/>
    </sheetView>
  </sheetViews>
  <sheetFormatPr defaultRowHeight="15" x14ac:dyDescent="0.25"/>
  <sheetData>
    <row r="1" spans="1:6" ht="15.75" thickBot="1" x14ac:dyDescent="0.3">
      <c r="A1" s="25" t="s">
        <v>69</v>
      </c>
      <c r="B1" s="25" t="s">
        <v>70</v>
      </c>
      <c r="C1" s="25" t="s">
        <v>71</v>
      </c>
      <c r="D1" s="25" t="s">
        <v>72</v>
      </c>
      <c r="E1" s="25" t="s">
        <v>73</v>
      </c>
    </row>
    <row r="2" spans="1:6" x14ac:dyDescent="0.25">
      <c r="A2" s="24" t="s">
        <v>74</v>
      </c>
      <c r="B2" s="24" t="s">
        <v>75</v>
      </c>
      <c r="C2" s="24" t="s">
        <v>76</v>
      </c>
      <c r="D2" s="26">
        <v>34</v>
      </c>
      <c r="E2" s="26">
        <v>71</v>
      </c>
    </row>
    <row r="3" spans="1:6" x14ac:dyDescent="0.25">
      <c r="A3" s="24" t="s">
        <v>77</v>
      </c>
      <c r="B3" s="24" t="s">
        <v>78</v>
      </c>
      <c r="C3" s="24" t="s">
        <v>76</v>
      </c>
      <c r="D3" s="26">
        <v>38</v>
      </c>
      <c r="E3" s="26">
        <v>57</v>
      </c>
    </row>
    <row r="4" spans="1:6" x14ac:dyDescent="0.25">
      <c r="A4" s="24" t="s">
        <v>79</v>
      </c>
      <c r="B4" s="24" t="s">
        <v>80</v>
      </c>
      <c r="C4" s="24" t="s">
        <v>76</v>
      </c>
      <c r="D4" s="26">
        <v>38</v>
      </c>
      <c r="E4" s="26">
        <v>64</v>
      </c>
    </row>
    <row r="5" spans="1:6" x14ac:dyDescent="0.25">
      <c r="A5" s="24" t="s">
        <v>81</v>
      </c>
      <c r="B5" s="24" t="s">
        <v>75</v>
      </c>
      <c r="C5" s="24" t="s">
        <v>82</v>
      </c>
      <c r="D5" s="26">
        <v>34</v>
      </c>
      <c r="E5" s="26">
        <v>27</v>
      </c>
    </row>
    <row r="6" spans="1:6" x14ac:dyDescent="0.25">
      <c r="A6" s="24" t="s">
        <v>83</v>
      </c>
      <c r="B6" s="24" t="s">
        <v>78</v>
      </c>
      <c r="C6" s="24" t="s">
        <v>82</v>
      </c>
      <c r="D6" s="26">
        <v>38</v>
      </c>
      <c r="E6" s="26">
        <v>56</v>
      </c>
    </row>
    <row r="7" spans="1:6" x14ac:dyDescent="0.25">
      <c r="A7" s="24" t="s">
        <v>84</v>
      </c>
      <c r="B7" s="24" t="s">
        <v>78</v>
      </c>
      <c r="C7" s="24" t="s">
        <v>82</v>
      </c>
      <c r="D7" s="26">
        <v>38</v>
      </c>
      <c r="E7" s="26">
        <v>65</v>
      </c>
    </row>
    <row r="8" spans="1:6" x14ac:dyDescent="0.25">
      <c r="A8" s="24" t="s">
        <v>85</v>
      </c>
      <c r="B8" s="24" t="s">
        <v>75</v>
      </c>
      <c r="C8" s="24" t="s">
        <v>76</v>
      </c>
      <c r="D8" s="26">
        <v>34</v>
      </c>
      <c r="E8" s="26">
        <v>90</v>
      </c>
    </row>
    <row r="9" spans="1:6" x14ac:dyDescent="0.25">
      <c r="A9" s="24" t="s">
        <v>86</v>
      </c>
      <c r="B9" s="24" t="s">
        <v>80</v>
      </c>
      <c r="C9" s="24" t="s">
        <v>82</v>
      </c>
      <c r="D9" s="26">
        <v>38</v>
      </c>
      <c r="E9" s="26">
        <v>84</v>
      </c>
    </row>
    <row r="10" spans="1:6" x14ac:dyDescent="0.25">
      <c r="A10" s="24" t="s">
        <v>87</v>
      </c>
      <c r="B10" s="24" t="s">
        <v>80</v>
      </c>
      <c r="C10" s="24" t="s">
        <v>76</v>
      </c>
      <c r="D10" s="26">
        <v>38</v>
      </c>
      <c r="E10" s="26">
        <v>79</v>
      </c>
    </row>
    <row r="12" spans="1:6" x14ac:dyDescent="0.25">
      <c r="F12">
        <f>INDEX(A2:E10,3,4)</f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SUMPRODUCT</vt:lpstr>
      <vt:lpstr>Sheet1</vt:lpstr>
      <vt:lpstr>Countif</vt:lpstr>
      <vt:lpstr>Countifs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Otendo</dc:creator>
  <cp:lastModifiedBy>JAJAJO</cp:lastModifiedBy>
  <dcterms:created xsi:type="dcterms:W3CDTF">2024-07-27T06:25:25Z</dcterms:created>
  <dcterms:modified xsi:type="dcterms:W3CDTF">2024-08-12T09:21:41Z</dcterms:modified>
</cp:coreProperties>
</file>